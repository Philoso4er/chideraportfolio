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s" sheetId="1" r:id="rId1"/>
    <sheet name="Issues" sheetId="2" r:id="rId2"/>
    <sheet name="Assumptions" sheetId="3" r:id="rId3"/>
    <sheet name="Dependencies" sheetId="4" r:id="rId4"/>
    <sheet name="Change log" sheetId="5" r:id="rId5"/>
    <sheet name="Scoring key" sheetId="6" r:id="rId6"/>
  </sheets>
  <definedNames>
    <definedName name="_xlnm.Print_Titles" localSheetId="0">Risks!$5:$5</definedName>
  </definedNames>
  <calcPr calcId="124519" fullCalcOnLoad="1"/>
</workbook>
</file>

<file path=xl/sharedStrings.xml><?xml version="1.0" encoding="utf-8"?>
<sst xmlns="http://schemas.openxmlformats.org/spreadsheetml/2006/main" count="179" uniqueCount="135">
  <si>
    <t>⚠  SIMULATED PROJECT: FICTIONAL COMPANY, CREATED FOR PORTFOLIO AND LEARNING PURPOSES  ·  Cobbleway Home Services Ltd is not a real business</t>
  </si>
  <si>
    <t>RAID log: risks</t>
  </si>
  <si>
    <t>Score = probability × impact (1–5 each). 15+ = Red, 8–14 = Amber, 1–7 = Green. Final version at closure (16 Jun 2026).</t>
  </si>
  <si>
    <t>ID</t>
  </si>
  <si>
    <t>Risk</t>
  </si>
  <si>
    <t>Cause and effect</t>
  </si>
  <si>
    <t>Raised</t>
  </si>
  <si>
    <t>Owner</t>
  </si>
  <si>
    <t>Prob.</t>
  </si>
  <si>
    <t>Impact</t>
  </si>
  <si>
    <t>Score</t>
  </si>
  <si>
    <t>Rating</t>
  </si>
  <si>
    <t>Response (strategy: action)</t>
  </si>
  <si>
    <t>Status</t>
  </si>
  <si>
    <t>Closed</t>
  </si>
  <si>
    <t>Notes</t>
  </si>
  <si>
    <t>R01</t>
  </si>
  <si>
    <t>Poor legacy data quality delays migration</t>
  </si>
  <si>
    <t>Customer spreadsheet and old job software contain duplicates and missing addresses, so cleansing could overrun</t>
  </si>
  <si>
    <t>Priya Shah</t>
  </si>
  <si>
    <t>Reduce: data audit in week 3; cleansing rules agreed; supplier-assisted de-duplication</t>
  </si>
  <si>
    <t>Occurred as issue I01; go-live moved 4 working days (within the 5-day time tolerance)</t>
  </si>
  <si>
    <t>R02</t>
  </si>
  <si>
    <t>Field engineers do not adopt the mobile app</t>
  </si>
  <si>
    <t>Engineers see the app as extra admin, so job updates stay on paper and benefits are lost</t>
  </si>
  <si>
    <t>Gary Hodgson</t>
  </si>
  <si>
    <t>Reduce: Field Supervisor co-designs screens; champions; short hands-on training; usage tracked in hypercare</t>
  </si>
  <si>
    <t>Open</t>
  </si>
  <si>
    <t>Transferred to BAU owner (Dave Pearson) at closure</t>
  </si>
  <si>
    <t>R03</t>
  </si>
  <si>
    <t>Accounting integration more complex than quoted</t>
  </si>
  <si>
    <t>The accounting package may need a paid connector, adding cost and time</t>
  </si>
  <si>
    <t>Lucy Bell</t>
  </si>
  <si>
    <t>Reduce: supplier technical call before contract; contingency held</t>
  </si>
  <si>
    <t>Occurred as issue I02; resolved by change request CR01</t>
  </si>
  <si>
    <t>R04</t>
  </si>
  <si>
    <t>Key staff unavailable for UAT and training</t>
  </si>
  <si>
    <t>Peak boiler-servicing season and Easter leave reduce availability</t>
  </si>
  <si>
    <t>Dave Pearson</t>
  </si>
  <si>
    <t>Reduce: dates booked at M2; backfill budget; two training sessions per group</t>
  </si>
  <si>
    <t>Sessions delivered as planned</t>
  </si>
  <si>
    <t>R05</t>
  </si>
  <si>
    <t>Supplier resourcing slips configuration</t>
  </si>
  <si>
    <t>Implementation partner has competing projects</t>
  </si>
  <si>
    <t>Sam Carter</t>
  </si>
  <si>
    <t>Reduce: named consultant in contract; weekly check-in</t>
  </si>
  <si>
    <t>Configuration completed (M4)</t>
  </si>
  <si>
    <t>R06</t>
  </si>
  <si>
    <t>Customer data migrated without proper retention review</t>
  </si>
  <si>
    <t>Inactive records kept with no lawful basis could breach UK GDPR</t>
  </si>
  <si>
    <t>Helen Marsh</t>
  </si>
  <si>
    <t>Reduce: 6-year retention rule; records older than this archived, not migrated; privacy notice updated</t>
  </si>
  <si>
    <t>Retention rule applied in final migration</t>
  </si>
  <si>
    <t>R07</t>
  </si>
  <si>
    <t>Change requests push cost over tolerance</t>
  </si>
  <si>
    <t>Further integration or reporting requests could exceed the 10% contingency</t>
  </si>
  <si>
    <t>Chidera Ikenna-Obi</t>
  </si>
  <si>
    <t>Reduce: change control; sponsor approves any CR over £500</t>
  </si>
  <si>
    <t>Final cost within budget including contingency</t>
  </si>
  <si>
    <t>R08</t>
  </si>
  <si>
    <t>Low mobile signal stops job updates</t>
  </si>
  <si>
    <t>Rural jobs in parts of County Durham have weak 4G coverage</t>
  </si>
  <si>
    <t>Ben Ward</t>
  </si>
  <si>
    <t>Reduce: offline mode (REQ-13) tested in UAT at two low-signal sites</t>
  </si>
  <si>
    <t>Offline sync passed UAT</t>
  </si>
  <si>
    <t>R09</t>
  </si>
  <si>
    <t>Go-live disrupts customer service</t>
  </si>
  <si>
    <t>Cut-over during a busy week could mean missed calls or lost enquiries</t>
  </si>
  <si>
    <t>Reduce: cut-over outside the Monday peak; shared inbox monitored in parallel for two weeks; hypercare rota</t>
  </si>
  <si>
    <t>No lost enquiries logged during hypercare</t>
  </si>
  <si>
    <t>RAID log: issues</t>
  </si>
  <si>
    <t>Issue</t>
  </si>
  <si>
    <t>Severity</t>
  </si>
  <si>
    <t>Action / resolution</t>
  </si>
  <si>
    <t>I01</t>
  </si>
  <si>
    <t>Around 18% of legacy customer records are duplicates</t>
  </si>
  <si>
    <t>High</t>
  </si>
  <si>
    <t>Two extra cleansing weeks agreed; supplier de-duplication script; trial migration and UAT moved back 4 working days</t>
  </si>
  <si>
    <t>I02</t>
  </si>
  <si>
    <t>Accounting package needs a paid connector for invoice sync</t>
  </si>
  <si>
    <t>Medium</t>
  </si>
  <si>
    <t>CR01 raised and approved (£900, +3 days); two-way sync deferred to backlog</t>
  </si>
  <si>
    <t>I03</t>
  </si>
  <si>
    <t>Two tablets faulty on delivery</t>
  </si>
  <si>
    <t>Low</t>
  </si>
  <si>
    <t>Replaced under warranty before engineer training</t>
  </si>
  <si>
    <t>I04</t>
  </si>
  <si>
    <t>UAT: VAT rounding error on quote PDF template</t>
  </si>
  <si>
    <t>Tom Reilly</t>
  </si>
  <si>
    <t>Template fixed by supplier and retested before go/no-go</t>
  </si>
  <si>
    <t>RAID log: assumptions</t>
  </si>
  <si>
    <t>Assumption</t>
  </si>
  <si>
    <t>Validation</t>
  </si>
  <si>
    <t>A01</t>
  </si>
  <si>
    <t>18 named CRM users is enough for year 1 (office team plus 6 tablet users)</t>
  </si>
  <si>
    <t>Validated at go-live</t>
  </si>
  <si>
    <t>A02</t>
  </si>
  <si>
    <t>Key users can give one day a week to workshops, UAT and training</t>
  </si>
  <si>
    <t>Held, with backfill</t>
  </si>
  <si>
    <t>A03</t>
  </si>
  <si>
    <t>The existing accounting package stays in place</t>
  </si>
  <si>
    <t>Held</t>
  </si>
  <si>
    <t>A04</t>
  </si>
  <si>
    <t>Office broadband and engineers' 4G are adequate for a cloud CRM</t>
  </si>
  <si>
    <t>Held; offline mode covers gaps</t>
  </si>
  <si>
    <t>RAID log: dependencies</t>
  </si>
  <si>
    <t>Dependency</t>
  </si>
  <si>
    <t>Needed by</t>
  </si>
  <si>
    <t>D01</t>
  </si>
  <si>
    <t>Accounting package API access and connector licence</t>
  </si>
  <si>
    <t>Before task 3.4</t>
  </si>
  <si>
    <t>Met (via CR01)</t>
  </si>
  <si>
    <t>D02</t>
  </si>
  <si>
    <t>Tablets delivered and enrolled before engineer training</t>
  </si>
  <si>
    <t>Before task 6.4</t>
  </si>
  <si>
    <t>Met</t>
  </si>
  <si>
    <t>D03</t>
  </si>
  <si>
    <t>Email domain admin access from Quayside IT</t>
  </si>
  <si>
    <t>D04</t>
  </si>
  <si>
    <t>Sponsor available for go/no-go decision</t>
  </si>
  <si>
    <t>M5</t>
  </si>
  <si>
    <t>Change control log</t>
  </si>
  <si>
    <t>Any change over £500 or affecting a milestone needs sponsor approval (charter tolerances).</t>
  </si>
  <si>
    <t>CR</t>
  </si>
  <si>
    <t>Change</t>
  </si>
  <si>
    <t>Cost</t>
  </si>
  <si>
    <t>Schedule impact</t>
  </si>
  <si>
    <t>Decision</t>
  </si>
  <si>
    <t>CR01</t>
  </si>
  <si>
    <t>Paid accounting connector and 3 extra supplier days for invoice sync</t>
  </si>
  <si>
    <t>£900</t>
  </si>
  <si>
    <t>+3 working days on task 3.4 (not on critical path)</t>
  </si>
  <si>
    <t>Approved by sponsor</t>
  </si>
  <si>
    <t>Risk scoring matrix (probability × impact)</t>
  </si>
  <si>
    <t>Probability ↓ / Impact →</t>
  </si>
</sst>
</file>

<file path=xl/styles.xml><?xml version="1.0" encoding="utf-8"?>
<styleSheet xmlns="http://schemas.openxmlformats.org/spreadsheetml/2006/main">
  <numFmts count="1">
    <numFmt numFmtId="164" formatCode="dd mmm yyyy"/>
  </numFmts>
  <fonts count="10">
    <font>
      <sz val="11"/>
      <color theme="1"/>
      <name val="Calibri"/>
      <family val="2"/>
      <scheme val="minor"/>
    </font>
    <font>
      <b/>
      <sz val="10"/>
      <color rgb="FF7C4A03"/>
      <name val="Calibri"/>
      <family val="2"/>
      <scheme val="minor"/>
    </font>
    <font>
      <b/>
      <sz val="15"/>
      <color rgb="FF0F1D3A"/>
      <name val="Calibri"/>
      <family val="2"/>
      <scheme val="minor"/>
    </font>
    <font>
      <i/>
      <sz val="10"/>
      <color rgb="FF5C677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7C4A03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F0D8"/>
        <bgColor indexed="64"/>
      </patternFill>
    </fill>
    <fill>
      <patternFill patternType="solid">
        <fgColor rgb="FF0F1D3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 style="thin">
        <color rgb="FFE0B060"/>
      </left>
      <right style="thin">
        <color rgb="FFE0B060"/>
      </right>
      <top style="thin">
        <color rgb="FFE0B060"/>
      </top>
      <bottom style="thin">
        <color rgb="FFE0B060"/>
      </bottom>
      <diagonal/>
    </border>
    <border>
      <left style="thin">
        <color rgb="FFC9D1DE"/>
      </left>
      <right style="thin">
        <color rgb="FFC9D1DE"/>
      </right>
      <top style="thin">
        <color rgb="FFC9D1DE"/>
      </top>
      <bottom style="thin">
        <color rgb="FFC9D1D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164" fontId="6" fillId="0" borderId="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7C4A03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4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40.7109375" customWidth="1"/>
    <col min="4" max="4" width="11.7109375" customWidth="1"/>
    <col min="5" max="5" width="15.7109375" customWidth="1"/>
    <col min="6" max="7" width="6.7109375" customWidth="1"/>
    <col min="8" max="8" width="7.7109375" customWidth="1"/>
    <col min="9" max="9" width="8.7109375" customWidth="1"/>
    <col min="10" max="10" width="44.7109375" customWidth="1"/>
    <col min="11" max="11" width="8.7109375" customWidth="1"/>
    <col min="12" max="12" width="11.7109375" customWidth="1"/>
    <col min="13" max="13" width="34.7109375" customWidth="1"/>
  </cols>
  <sheetData>
    <row r="1" spans="1:13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>
      <c r="A2" s="2" t="s">
        <v>1</v>
      </c>
    </row>
    <row r="3" spans="1:13">
      <c r="A3" s="3" t="s">
        <v>2</v>
      </c>
    </row>
    <row r="5" spans="1:13" ht="28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 ht="42" customHeight="1">
      <c r="A6" s="5" t="s">
        <v>16</v>
      </c>
      <c r="B6" s="5" t="s">
        <v>17</v>
      </c>
      <c r="C6" s="6" t="s">
        <v>18</v>
      </c>
      <c r="D6" s="7">
        <v>46090</v>
      </c>
      <c r="E6" s="6" t="s">
        <v>19</v>
      </c>
      <c r="F6" s="8">
        <v>4</v>
      </c>
      <c r="G6" s="8">
        <v>4</v>
      </c>
      <c r="H6" s="8">
        <f>F6*G6</f>
        <v>0</v>
      </c>
      <c r="I6" s="8">
        <f>IF(H6&gt;=15,"Red",IF(H6&gt;=8,"Amber","Green"))</f>
        <v>0</v>
      </c>
      <c r="J6" s="6" t="s">
        <v>20</v>
      </c>
      <c r="K6" s="8" t="s">
        <v>14</v>
      </c>
      <c r="L6" s="7">
        <v>46160</v>
      </c>
      <c r="M6" s="6" t="s">
        <v>21</v>
      </c>
    </row>
    <row r="7" spans="1:13" ht="42" customHeight="1">
      <c r="A7" s="5" t="s">
        <v>22</v>
      </c>
      <c r="B7" s="5" t="s">
        <v>23</v>
      </c>
      <c r="C7" s="6" t="s">
        <v>24</v>
      </c>
      <c r="D7" s="7">
        <v>46090</v>
      </c>
      <c r="E7" s="6" t="s">
        <v>25</v>
      </c>
      <c r="F7" s="8">
        <v>3</v>
      </c>
      <c r="G7" s="8">
        <v>4</v>
      </c>
      <c r="H7" s="8">
        <f>F7*G7</f>
        <v>0</v>
      </c>
      <c r="I7" s="8">
        <f>IF(H7&gt;=15,"Red",IF(H7&gt;=8,"Amber","Green"))</f>
        <v>0</v>
      </c>
      <c r="J7" s="6" t="s">
        <v>26</v>
      </c>
      <c r="K7" s="8" t="s">
        <v>27</v>
      </c>
      <c r="L7" s="7"/>
      <c r="M7" s="6" t="s">
        <v>28</v>
      </c>
    </row>
    <row r="8" spans="1:13" ht="42" customHeight="1">
      <c r="A8" s="5" t="s">
        <v>29</v>
      </c>
      <c r="B8" s="5" t="s">
        <v>30</v>
      </c>
      <c r="C8" s="6" t="s">
        <v>31</v>
      </c>
      <c r="D8" s="7">
        <v>46104</v>
      </c>
      <c r="E8" s="6" t="s">
        <v>32</v>
      </c>
      <c r="F8" s="8">
        <v>3</v>
      </c>
      <c r="G8" s="8">
        <v>4</v>
      </c>
      <c r="H8" s="8">
        <f>F8*G8</f>
        <v>0</v>
      </c>
      <c r="I8" s="8">
        <f>IF(H8&gt;=15,"Red",IF(H8&gt;=8,"Amber","Green"))</f>
        <v>0</v>
      </c>
      <c r="J8" s="6" t="s">
        <v>33</v>
      </c>
      <c r="K8" s="8" t="s">
        <v>14</v>
      </c>
      <c r="L8" s="7">
        <v>46139</v>
      </c>
      <c r="M8" s="6" t="s">
        <v>34</v>
      </c>
    </row>
    <row r="9" spans="1:13" ht="42" customHeight="1">
      <c r="A9" s="5" t="s">
        <v>35</v>
      </c>
      <c r="B9" s="5" t="s">
        <v>36</v>
      </c>
      <c r="C9" s="6" t="s">
        <v>37</v>
      </c>
      <c r="D9" s="7">
        <v>46097</v>
      </c>
      <c r="E9" s="6" t="s">
        <v>38</v>
      </c>
      <c r="F9" s="8">
        <v>3</v>
      </c>
      <c r="G9" s="8">
        <v>3</v>
      </c>
      <c r="H9" s="8">
        <f>F9*G9</f>
        <v>0</v>
      </c>
      <c r="I9" s="8">
        <f>IF(H9&gt;=15,"Red",IF(H9&gt;=8,"Amber","Green"))</f>
        <v>0</v>
      </c>
      <c r="J9" s="6" t="s">
        <v>39</v>
      </c>
      <c r="K9" s="8" t="s">
        <v>14</v>
      </c>
      <c r="L9" s="7">
        <v>46157</v>
      </c>
      <c r="M9" s="6" t="s">
        <v>40</v>
      </c>
    </row>
    <row r="10" spans="1:13" ht="42" customHeight="1">
      <c r="A10" s="5" t="s">
        <v>41</v>
      </c>
      <c r="B10" s="5" t="s">
        <v>42</v>
      </c>
      <c r="C10" s="6" t="s">
        <v>43</v>
      </c>
      <c r="D10" s="7">
        <v>46114</v>
      </c>
      <c r="E10" s="6" t="s">
        <v>44</v>
      </c>
      <c r="F10" s="8">
        <v>2</v>
      </c>
      <c r="G10" s="8">
        <v>4</v>
      </c>
      <c r="H10" s="8">
        <f>F10*G10</f>
        <v>0</v>
      </c>
      <c r="I10" s="8">
        <f>IF(H10&gt;=15,"Red",IF(H10&gt;=8,"Amber","Green"))</f>
        <v>0</v>
      </c>
      <c r="J10" s="6" t="s">
        <v>45</v>
      </c>
      <c r="K10" s="8" t="s">
        <v>14</v>
      </c>
      <c r="L10" s="7">
        <v>46154</v>
      </c>
      <c r="M10" s="6" t="s">
        <v>46</v>
      </c>
    </row>
    <row r="11" spans="1:13" ht="42" customHeight="1">
      <c r="A11" s="5" t="s">
        <v>47</v>
      </c>
      <c r="B11" s="5" t="s">
        <v>48</v>
      </c>
      <c r="C11" s="6" t="s">
        <v>49</v>
      </c>
      <c r="D11" s="7">
        <v>46097</v>
      </c>
      <c r="E11" s="6" t="s">
        <v>50</v>
      </c>
      <c r="F11" s="8">
        <v>2</v>
      </c>
      <c r="G11" s="8">
        <v>5</v>
      </c>
      <c r="H11" s="8">
        <f>F11*G11</f>
        <v>0</v>
      </c>
      <c r="I11" s="8">
        <f>IF(H11&gt;=15,"Red",IF(H11&gt;=8,"Amber","Green"))</f>
        <v>0</v>
      </c>
      <c r="J11" s="6" t="s">
        <v>51</v>
      </c>
      <c r="K11" s="8" t="s">
        <v>14</v>
      </c>
      <c r="L11" s="7">
        <v>46169</v>
      </c>
      <c r="M11" s="6" t="s">
        <v>52</v>
      </c>
    </row>
    <row r="12" spans="1:13" ht="42" customHeight="1">
      <c r="A12" s="5" t="s">
        <v>53</v>
      </c>
      <c r="B12" s="5" t="s">
        <v>54</v>
      </c>
      <c r="C12" s="6" t="s">
        <v>55</v>
      </c>
      <c r="D12" s="7">
        <v>46125</v>
      </c>
      <c r="E12" s="6" t="s">
        <v>56</v>
      </c>
      <c r="F12" s="8">
        <v>3</v>
      </c>
      <c r="G12" s="8">
        <v>3</v>
      </c>
      <c r="H12" s="8">
        <f>F12*G12</f>
        <v>0</v>
      </c>
      <c r="I12" s="8">
        <f>IF(H12&gt;=15,"Red",IF(H12&gt;=8,"Amber","Green"))</f>
        <v>0</v>
      </c>
      <c r="J12" s="6" t="s">
        <v>57</v>
      </c>
      <c r="K12" s="8" t="s">
        <v>14</v>
      </c>
      <c r="L12" s="7">
        <v>46189</v>
      </c>
      <c r="M12" s="6" t="s">
        <v>58</v>
      </c>
    </row>
    <row r="13" spans="1:13" ht="42" customHeight="1">
      <c r="A13" s="5" t="s">
        <v>59</v>
      </c>
      <c r="B13" s="5" t="s">
        <v>60</v>
      </c>
      <c r="C13" s="6" t="s">
        <v>61</v>
      </c>
      <c r="D13" s="7">
        <v>46104</v>
      </c>
      <c r="E13" s="6" t="s">
        <v>62</v>
      </c>
      <c r="F13" s="8">
        <v>3</v>
      </c>
      <c r="G13" s="8">
        <v>2</v>
      </c>
      <c r="H13" s="8">
        <f>F13*G13</f>
        <v>0</v>
      </c>
      <c r="I13" s="8">
        <f>IF(H13&gt;=15,"Red",IF(H13&gt;=8,"Amber","Green"))</f>
        <v>0</v>
      </c>
      <c r="J13" s="6" t="s">
        <v>63</v>
      </c>
      <c r="K13" s="8" t="s">
        <v>14</v>
      </c>
      <c r="L13" s="7">
        <v>46157</v>
      </c>
      <c r="M13" s="6" t="s">
        <v>64</v>
      </c>
    </row>
    <row r="14" spans="1:13" ht="42" customHeight="1">
      <c r="A14" s="5" t="s">
        <v>65</v>
      </c>
      <c r="B14" s="5" t="s">
        <v>66</v>
      </c>
      <c r="C14" s="6" t="s">
        <v>67</v>
      </c>
      <c r="D14" s="7">
        <v>46132</v>
      </c>
      <c r="E14" s="6" t="s">
        <v>19</v>
      </c>
      <c r="F14" s="8">
        <v>2</v>
      </c>
      <c r="G14" s="8">
        <v>4</v>
      </c>
      <c r="H14" s="8">
        <f>F14*G14</f>
        <v>0</v>
      </c>
      <c r="I14" s="8">
        <f>IF(H14&gt;=15,"Red",IF(H14&gt;=8,"Amber","Green"))</f>
        <v>0</v>
      </c>
      <c r="J14" s="6" t="s">
        <v>68</v>
      </c>
      <c r="K14" s="8" t="s">
        <v>14</v>
      </c>
      <c r="L14" s="7">
        <v>46183</v>
      </c>
      <c r="M14" s="6" t="s">
        <v>69</v>
      </c>
    </row>
  </sheetData>
  <mergeCells count="1">
    <mergeCell ref="A1:M1"/>
  </mergeCells>
  <conditionalFormatting sqref="I6:I14">
    <cfRule type="cellIs" dxfId="0" priority="1" operator="equal">
      <formula>"Green"</formula>
    </cfRule>
    <cfRule type="cellIs" dxfId="1" priority="2" operator="equal">
      <formula>"Amber"</formula>
    </cfRule>
    <cfRule type="cellIs" dxfId="2" priority="3" operator="equal">
      <formula>"Red"</formula>
    </cfRule>
  </conditionalFormatting>
  <conditionalFormatting sqref="K6:K14">
    <cfRule type="cellIs" dxfId="3" priority="4" operator="equal">
      <formula>"Open"</formula>
    </cfRule>
  </conditionalFormatting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"/>
  <sheetViews>
    <sheetView showGridLines="0" workbookViewId="0"/>
  </sheetViews>
  <sheetFormatPr defaultRowHeight="15"/>
  <cols>
    <col min="1" max="1" width="6.7109375" customWidth="1"/>
    <col min="2" max="2" width="40.7109375" customWidth="1"/>
    <col min="3" max="3" width="11.7109375" customWidth="1"/>
    <col min="4" max="4" width="15.7109375" customWidth="1"/>
    <col min="5" max="5" width="9.7109375" customWidth="1"/>
    <col min="6" max="6" width="52.7109375" customWidth="1"/>
    <col min="7" max="7" width="9.7109375" customWidth="1"/>
    <col min="8" max="8" width="11.7109375" customWidth="1"/>
  </cols>
  <sheetData>
    <row r="1" spans="1:8" ht="2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2" t="s">
        <v>70</v>
      </c>
    </row>
    <row r="5" spans="1:8" ht="28" customHeight="1">
      <c r="A5" s="4" t="s">
        <v>3</v>
      </c>
      <c r="B5" s="4" t="s">
        <v>71</v>
      </c>
      <c r="C5" s="4" t="s">
        <v>6</v>
      </c>
      <c r="D5" s="4" t="s">
        <v>7</v>
      </c>
      <c r="E5" s="4" t="s">
        <v>72</v>
      </c>
      <c r="F5" s="4" t="s">
        <v>73</v>
      </c>
      <c r="G5" s="4" t="s">
        <v>13</v>
      </c>
      <c r="H5" s="4" t="s">
        <v>14</v>
      </c>
    </row>
    <row r="6" spans="1:8" ht="32" customHeight="1">
      <c r="A6" s="5" t="s">
        <v>74</v>
      </c>
      <c r="B6" s="6" t="s">
        <v>75</v>
      </c>
      <c r="C6" s="7">
        <v>46133</v>
      </c>
      <c r="D6" s="6" t="s">
        <v>19</v>
      </c>
      <c r="E6" s="8" t="s">
        <v>76</v>
      </c>
      <c r="F6" s="6" t="s">
        <v>77</v>
      </c>
      <c r="G6" s="8" t="s">
        <v>14</v>
      </c>
      <c r="H6" s="7">
        <v>46155</v>
      </c>
    </row>
    <row r="7" spans="1:8" ht="32" customHeight="1">
      <c r="A7" s="5" t="s">
        <v>78</v>
      </c>
      <c r="B7" s="6" t="s">
        <v>79</v>
      </c>
      <c r="C7" s="7">
        <v>46128</v>
      </c>
      <c r="D7" s="6" t="s">
        <v>32</v>
      </c>
      <c r="E7" s="8" t="s">
        <v>80</v>
      </c>
      <c r="F7" s="6" t="s">
        <v>81</v>
      </c>
      <c r="G7" s="8" t="s">
        <v>14</v>
      </c>
      <c r="H7" s="7">
        <v>46139</v>
      </c>
    </row>
    <row r="8" spans="1:8" ht="32" customHeight="1">
      <c r="A8" s="5" t="s">
        <v>82</v>
      </c>
      <c r="B8" s="6" t="s">
        <v>83</v>
      </c>
      <c r="C8" s="7">
        <v>46148</v>
      </c>
      <c r="D8" s="6" t="s">
        <v>62</v>
      </c>
      <c r="E8" s="8" t="s">
        <v>84</v>
      </c>
      <c r="F8" s="6" t="s">
        <v>85</v>
      </c>
      <c r="G8" s="8" t="s">
        <v>14</v>
      </c>
      <c r="H8" s="7">
        <v>46154</v>
      </c>
    </row>
    <row r="9" spans="1:8" ht="32" customHeight="1">
      <c r="A9" s="5" t="s">
        <v>86</v>
      </c>
      <c r="B9" s="6" t="s">
        <v>87</v>
      </c>
      <c r="C9" s="7">
        <v>46162</v>
      </c>
      <c r="D9" s="6" t="s">
        <v>88</v>
      </c>
      <c r="E9" s="8" t="s">
        <v>80</v>
      </c>
      <c r="F9" s="6" t="s">
        <v>89</v>
      </c>
      <c r="G9" s="8" t="s">
        <v>14</v>
      </c>
      <c r="H9" s="7">
        <v>46164</v>
      </c>
    </row>
  </sheetData>
  <mergeCells count="1">
    <mergeCell ref="A1:H1"/>
  </mergeCells>
  <conditionalFormatting sqref="E6:E9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</conditionalFormatting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9"/>
  <sheetViews>
    <sheetView showGridLines="0" workbookViewId="0"/>
  </sheetViews>
  <sheetFormatPr defaultRowHeight="15"/>
  <cols>
    <col min="1" max="1" width="6.7109375" customWidth="1"/>
    <col min="2" max="2" width="60.7109375" customWidth="1"/>
    <col min="3" max="3" width="16.7109375" customWidth="1"/>
    <col min="4" max="4" width="34.7109375" customWidth="1"/>
  </cols>
  <sheetData>
    <row r="1" spans="1:4" ht="34" customHeight="1">
      <c r="A1" s="1" t="s">
        <v>0</v>
      </c>
      <c r="B1" s="1"/>
      <c r="C1" s="1"/>
      <c r="D1" s="1"/>
    </row>
    <row r="2" spans="1:4" ht="24" customHeight="1">
      <c r="A2" s="2" t="s">
        <v>90</v>
      </c>
    </row>
    <row r="5" spans="1:4" ht="28" customHeight="1">
      <c r="A5" s="4" t="s">
        <v>3</v>
      </c>
      <c r="B5" s="4" t="s">
        <v>91</v>
      </c>
      <c r="C5" s="4" t="s">
        <v>7</v>
      </c>
      <c r="D5" s="4" t="s">
        <v>92</v>
      </c>
    </row>
    <row r="6" spans="1:4" ht="28" customHeight="1">
      <c r="A6" s="5" t="s">
        <v>93</v>
      </c>
      <c r="B6" s="6" t="s">
        <v>94</v>
      </c>
      <c r="C6" s="6" t="s">
        <v>50</v>
      </c>
      <c r="D6" s="6" t="s">
        <v>95</v>
      </c>
    </row>
    <row r="7" spans="1:4" ht="28" customHeight="1">
      <c r="A7" s="5" t="s">
        <v>96</v>
      </c>
      <c r="B7" s="6" t="s">
        <v>97</v>
      </c>
      <c r="C7" s="6" t="s">
        <v>38</v>
      </c>
      <c r="D7" s="6" t="s">
        <v>98</v>
      </c>
    </row>
    <row r="8" spans="1:4" ht="28" customHeight="1">
      <c r="A8" s="5" t="s">
        <v>99</v>
      </c>
      <c r="B8" s="6" t="s">
        <v>100</v>
      </c>
      <c r="C8" s="6" t="s">
        <v>32</v>
      </c>
      <c r="D8" s="6" t="s">
        <v>101</v>
      </c>
    </row>
    <row r="9" spans="1:4" ht="28" customHeight="1">
      <c r="A9" s="5" t="s">
        <v>102</v>
      </c>
      <c r="B9" s="6" t="s">
        <v>103</v>
      </c>
      <c r="C9" s="6" t="s">
        <v>62</v>
      </c>
      <c r="D9" s="6" t="s">
        <v>104</v>
      </c>
    </row>
  </sheetData>
  <mergeCells count="1">
    <mergeCell ref="A1:D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"/>
  <sheetViews>
    <sheetView showGridLines="0" workbookViewId="0"/>
  </sheetViews>
  <sheetFormatPr defaultRowHeight="15"/>
  <cols>
    <col min="1" max="1" width="6.7109375" customWidth="1"/>
    <col min="2" max="2" width="52.7109375" customWidth="1"/>
    <col min="3" max="3" width="16.7109375" customWidth="1"/>
    <col min="4" max="5" width="18.7109375" customWidth="1"/>
  </cols>
  <sheetData>
    <row r="1" spans="1:5" ht="34" customHeight="1">
      <c r="A1" s="1" t="s">
        <v>0</v>
      </c>
      <c r="B1" s="1"/>
      <c r="C1" s="1"/>
      <c r="D1" s="1"/>
      <c r="E1" s="1"/>
    </row>
    <row r="2" spans="1:5" ht="24" customHeight="1">
      <c r="A2" s="2" t="s">
        <v>105</v>
      </c>
    </row>
    <row r="5" spans="1:5" ht="28" customHeight="1">
      <c r="A5" s="4" t="s">
        <v>3</v>
      </c>
      <c r="B5" s="4" t="s">
        <v>106</v>
      </c>
      <c r="C5" s="4" t="s">
        <v>7</v>
      </c>
      <c r="D5" s="4" t="s">
        <v>107</v>
      </c>
      <c r="E5" s="4" t="s">
        <v>13</v>
      </c>
    </row>
    <row r="6" spans="1:5" ht="28" customHeight="1">
      <c r="A6" s="5" t="s">
        <v>108</v>
      </c>
      <c r="B6" s="6" t="s">
        <v>109</v>
      </c>
      <c r="C6" s="6" t="s">
        <v>32</v>
      </c>
      <c r="D6" s="6" t="s">
        <v>110</v>
      </c>
      <c r="E6" s="6" t="s">
        <v>111</v>
      </c>
    </row>
    <row r="7" spans="1:5" ht="28" customHeight="1">
      <c r="A7" s="5" t="s">
        <v>112</v>
      </c>
      <c r="B7" s="6" t="s">
        <v>113</v>
      </c>
      <c r="C7" s="6" t="s">
        <v>62</v>
      </c>
      <c r="D7" s="6" t="s">
        <v>114</v>
      </c>
      <c r="E7" s="6" t="s">
        <v>115</v>
      </c>
    </row>
    <row r="8" spans="1:5" ht="28" customHeight="1">
      <c r="A8" s="5" t="s">
        <v>116</v>
      </c>
      <c r="B8" s="6" t="s">
        <v>117</v>
      </c>
      <c r="C8" s="6" t="s">
        <v>62</v>
      </c>
      <c r="D8" s="6" t="s">
        <v>110</v>
      </c>
      <c r="E8" s="6" t="s">
        <v>115</v>
      </c>
    </row>
    <row r="9" spans="1:5" ht="28" customHeight="1">
      <c r="A9" s="5" t="s">
        <v>118</v>
      </c>
      <c r="B9" s="6" t="s">
        <v>119</v>
      </c>
      <c r="C9" s="6" t="s">
        <v>50</v>
      </c>
      <c r="D9" s="6" t="s">
        <v>120</v>
      </c>
      <c r="E9" s="6" t="s">
        <v>115</v>
      </c>
    </row>
  </sheetData>
  <mergeCells count="1">
    <mergeCell ref="A1:E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"/>
  <sheetViews>
    <sheetView showGridLines="0" workbookViewId="0"/>
  </sheetViews>
  <sheetFormatPr defaultRowHeight="15"/>
  <cols>
    <col min="1" max="1" width="7.7109375" customWidth="1"/>
    <col min="2" max="2" width="50.7109375" customWidth="1"/>
    <col min="3" max="3" width="12.7109375" customWidth="1"/>
    <col min="4" max="4" width="9.7109375" customWidth="1"/>
    <col min="5" max="5" width="34.7109375" customWidth="1"/>
    <col min="6" max="6" width="20.7109375" customWidth="1"/>
  </cols>
  <sheetData>
    <row r="1" spans="1:6" ht="34" customHeight="1">
      <c r="A1" s="1" t="s">
        <v>0</v>
      </c>
      <c r="B1" s="1"/>
      <c r="C1" s="1"/>
      <c r="D1" s="1"/>
      <c r="E1" s="1"/>
      <c r="F1" s="1"/>
    </row>
    <row r="2" spans="1:6" ht="24" customHeight="1">
      <c r="A2" s="2" t="s">
        <v>121</v>
      </c>
    </row>
    <row r="3" spans="1:6">
      <c r="A3" s="3" t="s">
        <v>122</v>
      </c>
    </row>
    <row r="5" spans="1:6" ht="28" customHeight="1">
      <c r="A5" s="4" t="s">
        <v>123</v>
      </c>
      <c r="B5" s="4" t="s">
        <v>124</v>
      </c>
      <c r="C5" s="4" t="s">
        <v>6</v>
      </c>
      <c r="D5" s="4" t="s">
        <v>125</v>
      </c>
      <c r="E5" s="4" t="s">
        <v>126</v>
      </c>
      <c r="F5" s="4" t="s">
        <v>127</v>
      </c>
    </row>
    <row r="6" spans="1:6" ht="30" customHeight="1">
      <c r="A6" s="5" t="s">
        <v>128</v>
      </c>
      <c r="B6" s="6" t="s">
        <v>129</v>
      </c>
      <c r="C6" s="7">
        <v>46132</v>
      </c>
      <c r="D6" s="8" t="s">
        <v>130</v>
      </c>
      <c r="E6" s="6" t="s">
        <v>131</v>
      </c>
      <c r="F6" s="6" t="s">
        <v>132</v>
      </c>
    </row>
  </sheetData>
  <mergeCells count="1">
    <mergeCell ref="A1:F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showGridLines="0" workbookViewId="0"/>
  </sheetViews>
  <sheetFormatPr defaultRowHeight="15"/>
  <cols>
    <col min="1" max="1" width="18.7109375" customWidth="1"/>
    <col min="2" max="6" width="11.7109375" customWidth="1"/>
  </cols>
  <sheetData>
    <row r="1" spans="1:6" ht="34" customHeight="1">
      <c r="A1" s="1" t="s">
        <v>0</v>
      </c>
      <c r="B1" s="1"/>
      <c r="C1" s="1"/>
      <c r="D1" s="1"/>
      <c r="E1" s="1"/>
      <c r="F1" s="1"/>
    </row>
    <row r="2" spans="1:6" ht="24" customHeight="1">
      <c r="A2" s="2" t="s">
        <v>133</v>
      </c>
    </row>
    <row r="5" spans="1:6">
      <c r="A5" s="4" t="s">
        <v>134</v>
      </c>
      <c r="B5" s="4">
        <v>1</v>
      </c>
      <c r="C5" s="4">
        <v>2</v>
      </c>
      <c r="D5" s="4">
        <v>3</v>
      </c>
      <c r="E5" s="4">
        <v>4</v>
      </c>
      <c r="F5" s="4">
        <v>5</v>
      </c>
    </row>
    <row r="6" spans="1:6">
      <c r="A6" s="4">
        <v>5</v>
      </c>
      <c r="B6" s="9">
        <v>5</v>
      </c>
      <c r="C6" s="10">
        <v>10</v>
      </c>
      <c r="D6" s="11">
        <v>15</v>
      </c>
      <c r="E6" s="11">
        <v>20</v>
      </c>
      <c r="F6" s="11">
        <v>25</v>
      </c>
    </row>
    <row r="7" spans="1:6">
      <c r="A7" s="4">
        <v>4</v>
      </c>
      <c r="B7" s="9">
        <v>4</v>
      </c>
      <c r="C7" s="10">
        <v>8</v>
      </c>
      <c r="D7" s="10">
        <v>12</v>
      </c>
      <c r="E7" s="11">
        <v>16</v>
      </c>
      <c r="F7" s="11">
        <v>20</v>
      </c>
    </row>
    <row r="8" spans="1:6">
      <c r="A8" s="4">
        <v>3</v>
      </c>
      <c r="B8" s="9">
        <v>3</v>
      </c>
      <c r="C8" s="9">
        <v>6</v>
      </c>
      <c r="D8" s="10">
        <v>9</v>
      </c>
      <c r="E8" s="10">
        <v>12</v>
      </c>
      <c r="F8" s="11">
        <v>15</v>
      </c>
    </row>
    <row r="9" spans="1:6">
      <c r="A9" s="4">
        <v>2</v>
      </c>
      <c r="B9" s="9">
        <v>2</v>
      </c>
      <c r="C9" s="9">
        <v>4</v>
      </c>
      <c r="D9" s="9">
        <v>6</v>
      </c>
      <c r="E9" s="10">
        <v>8</v>
      </c>
      <c r="F9" s="10">
        <v>10</v>
      </c>
    </row>
    <row r="10" spans="1:6">
      <c r="A10" s="4">
        <v>1</v>
      </c>
      <c r="B10" s="9">
        <v>1</v>
      </c>
      <c r="C10" s="9">
        <v>2</v>
      </c>
      <c r="D10" s="9">
        <v>3</v>
      </c>
      <c r="E10" s="9">
        <v>4</v>
      </c>
      <c r="F10" s="9">
        <v>5</v>
      </c>
    </row>
  </sheetData>
  <mergeCells count="1">
    <mergeCell ref="A1:F1"/>
  </mergeCells>
  <pageMargins left="0.4" right="0.4" top="0.6" bottom="0.6" header="0.3" footer="0.3"/>
  <pageSetup paperSize="9" fitToHeight="0" orientation="portrait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Risks</vt:lpstr>
      <vt:lpstr>Issues</vt:lpstr>
      <vt:lpstr>Assumptions</vt:lpstr>
      <vt:lpstr>Dependencies</vt:lpstr>
      <vt:lpstr>Change log</vt:lpstr>
      <vt:lpstr>Scoring key</vt:lpstr>
      <vt:lpstr>Risks!Print_Titles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RAID log (SIMULATED)</dc:title>
  <dc:subject>Project Compass: CRM implementation - fictional</dc:subject>
  <dc:creator>Chidera Ikenna-Obi</dc:creator>
  <dc:description>Simulated project: fictional company, created for portfolio and learning purposes</dc:description>
  <cp:lastModifiedBy>Chidera Ikenna-Obi</cp:lastModifiedBy>
  <dcterms:created xsi:type="dcterms:W3CDTF">2026-10-08T23:31:50Z</dcterms:created>
  <dcterms:modified xsi:type="dcterms:W3CDTF">2026-10-08T23:31:50Z</dcterms:modified>
</cp:coreProperties>
</file>