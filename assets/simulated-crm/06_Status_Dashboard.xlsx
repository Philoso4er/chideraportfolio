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Milestones" sheetId="2" r:id="rId2"/>
    <sheet name="Budget" sheetId="3" r:id="rId3"/>
    <sheet name="Spend profile" sheetId="4" r:id="rId4"/>
    <sheet name="Risks" sheetId="5" r:id="rId5"/>
    <sheet name="Issues" sheetId="6" r:id="rId6"/>
    <sheet name="Holidays" sheetId="7" r:id="rId7"/>
  </sheets>
  <definedNames>
    <definedName name="Holidays">Holidays!$A$6:$A$9</definedName>
    <definedName name="StatusDate">Dashboard!$B$4</definedName>
  </definedNames>
  <calcPr calcId="124519" fullCalcOnLoad="1"/>
</workbook>
</file>

<file path=xl/sharedStrings.xml><?xml version="1.0" encoding="utf-8"?>
<sst xmlns="http://schemas.openxmlformats.org/spreadsheetml/2006/main" count="162" uniqueCount="137">
  <si>
    <t>⚠  SIMULATED PROJECT: FICTIONAL COMPANY, CREATED FOR PORTFOLIO AND LEARNING PURPOSES  ·  Cobbleway Home Services Ltd is not a real business</t>
  </si>
  <si>
    <t>Milestone data</t>
  </si>
  <si>
    <t>Forecast = latest forecast at the status date (actual if achieved).</t>
  </si>
  <si>
    <t>WBS</t>
  </si>
  <si>
    <t>Milestone</t>
  </si>
  <si>
    <t>Baseline</t>
  </si>
  <si>
    <t>Forecast / actual</t>
  </si>
  <si>
    <t>Variance (wd)</t>
  </si>
  <si>
    <t>1.4</t>
  </si>
  <si>
    <t>M1 Charter and business case approved</t>
  </si>
  <si>
    <t>2.3</t>
  </si>
  <si>
    <t>M2 Requirements signed off</t>
  </si>
  <si>
    <t>2.5</t>
  </si>
  <si>
    <t>M3 Supplier selected and contract signed</t>
  </si>
  <si>
    <t>3.6</t>
  </si>
  <si>
    <t>M4 Configuration complete</t>
  </si>
  <si>
    <t>5.3</t>
  </si>
  <si>
    <t>M5 Go/no-go decision</t>
  </si>
  <si>
    <t>7.2</t>
  </si>
  <si>
    <t>M6 Go-live</t>
  </si>
  <si>
    <t>8.3</t>
  </si>
  <si>
    <t>M7 Project closed</t>
  </si>
  <si>
    <t>UK bank holidays</t>
  </si>
  <si>
    <t>Date</t>
  </si>
  <si>
    <t>Holiday</t>
  </si>
  <si>
    <t>Good Friday</t>
  </si>
  <si>
    <t>Easter Monday</t>
  </si>
  <si>
    <t>Early May bank holiday</t>
  </si>
  <si>
    <t>Spring bank holiday</t>
  </si>
  <si>
    <t>Budget vs actual (GBP)</t>
  </si>
  <si>
    <t>Actual to date at status date 08 May 2026. EAC = estimate at completion.</t>
  </si>
  <si>
    <t>Category</t>
  </si>
  <si>
    <t>Budget</t>
  </si>
  <si>
    <t>Actual to date</t>
  </si>
  <si>
    <t>Forecast (EAC)</t>
  </si>
  <si>
    <t>Variance (EAC − budget)</t>
  </si>
  <si>
    <t>% spent</t>
  </si>
  <si>
    <t>CRM licences (18 users, year 1)</t>
  </si>
  <si>
    <t>Supplier configuration and integration</t>
  </si>
  <si>
    <t>Data migration and cleansing</t>
  </si>
  <si>
    <t>Training and materials</t>
  </si>
  <si>
    <t>Internal staff time (backfill)</t>
  </si>
  <si>
    <t>Hardware (6 rugged tablets and cases)</t>
  </si>
  <si>
    <t>Base budget total</t>
  </si>
  <si>
    <t>Contingency (10.6% of base)</t>
  </si>
  <si>
    <t>Total approved budget (incl. contingency)</t>
  </si>
  <si>
    <t>Contingency remaining at EAC</t>
  </si>
  <si>
    <t>Cumulative spend profile (GBP)</t>
  </si>
  <si>
    <t>Actual for May is to the status date only.</t>
  </si>
  <si>
    <t>Month</t>
  </si>
  <si>
    <t>Planned (cumulative)</t>
  </si>
  <si>
    <t>Actual (cumulative)</t>
  </si>
  <si>
    <t>Mar 2026</t>
  </si>
  <si>
    <t>Apr 2026</t>
  </si>
  <si>
    <t>May 2026</t>
  </si>
  <si>
    <t>Jun 2026</t>
  </si>
  <si>
    <t>Risk data (copy of RAID log risks)</t>
  </si>
  <si>
    <t>Heatmap counts risks open at the status date: raised on or before it and not closed by then.</t>
  </si>
  <si>
    <t>ID</t>
  </si>
  <si>
    <t>Risk</t>
  </si>
  <si>
    <t>Raised</t>
  </si>
  <si>
    <t>Prob.</t>
  </si>
  <si>
    <t>Impact</t>
  </si>
  <si>
    <t>Score</t>
  </si>
  <si>
    <t>Closed</t>
  </si>
  <si>
    <t>R01</t>
  </si>
  <si>
    <t>Poor legacy data quality delays migration</t>
  </si>
  <si>
    <t>R02</t>
  </si>
  <si>
    <t>Field engineers do not adopt the mobile app</t>
  </si>
  <si>
    <t>R03</t>
  </si>
  <si>
    <t>Accounting integration more complex than quoted</t>
  </si>
  <si>
    <t>R04</t>
  </si>
  <si>
    <t>Key staff unavailable for UAT and training</t>
  </si>
  <si>
    <t>R05</t>
  </si>
  <si>
    <t>Supplier resourcing slips configuration</t>
  </si>
  <si>
    <t>R06</t>
  </si>
  <si>
    <t>Customer data migrated without proper retention review</t>
  </si>
  <si>
    <t>R07</t>
  </si>
  <si>
    <t>Change requests push cost over tolerance</t>
  </si>
  <si>
    <t>R08</t>
  </si>
  <si>
    <t>Low mobile signal stops job updates</t>
  </si>
  <si>
    <t>R09</t>
  </si>
  <si>
    <t>Go-live disrupts customer service</t>
  </si>
  <si>
    <t>Issue data (copy of RAID log issues)</t>
  </si>
  <si>
    <t>Issue</t>
  </si>
  <si>
    <t>Severity</t>
  </si>
  <si>
    <t>I01</t>
  </si>
  <si>
    <t>Around 18% of legacy customer records are duplicates</t>
  </si>
  <si>
    <t>High</t>
  </si>
  <si>
    <t>I02</t>
  </si>
  <si>
    <t>Accounting package needs a paid connector for invoice sync</t>
  </si>
  <si>
    <t>Medium</t>
  </si>
  <si>
    <t>I03</t>
  </si>
  <si>
    <t>Two tablets faulty on delivery</t>
  </si>
  <si>
    <t>Low</t>
  </si>
  <si>
    <t>I04</t>
  </si>
  <si>
    <t>UAT: VAT rounding error on quote PDF template</t>
  </si>
  <si>
    <t>Project Compass: project status dashboard</t>
  </si>
  <si>
    <t>Cobbleway Home Services Ltd (fictional) · CRM implementation · Highlight report 5 · Project manager: Chidera Ikenna-Obi (simulated role)</t>
  </si>
  <si>
    <t>Status date (input)</t>
  </si>
  <si>
    <t>Week 10 of 15</t>
  </si>
  <si>
    <t>Overall RAG</t>
  </si>
  <si>
    <t>RAG summary</t>
  </si>
  <si>
    <t>Dimension</t>
  </si>
  <si>
    <t>RAG</t>
  </si>
  <si>
    <t>How it is calculated</t>
  </si>
  <si>
    <t>Schedule</t>
  </si>
  <si>
    <t>Worst forecast milestone slip: 0 = G, 1–5 wd = A, &gt;5 wd (tolerance) = R</t>
  </si>
  <si>
    <t>Cost</t>
  </si>
  <si>
    <t>EAC ≤ base = G; within contingency = A; above total budget = R</t>
  </si>
  <si>
    <t>Scope</t>
  </si>
  <si>
    <t>Manual: all Must requirements in plan; CR01 approved</t>
  </si>
  <si>
    <t>Risks</t>
  </si>
  <si>
    <t>Open risks scoring 15+: 0 = G, 1 = A, 2+ = R</t>
  </si>
  <si>
    <t>Issues</t>
  </si>
  <si>
    <t>Any open High issue = A</t>
  </si>
  <si>
    <t>Key figures</t>
  </si>
  <si>
    <t>Total budget (incl. contingency)</t>
  </si>
  <si>
    <t>Actual spend to date</t>
  </si>
  <si>
    <t>Forecast at completion</t>
  </si>
  <si>
    <t>Contingency remaining</t>
  </si>
  <si>
    <t>Milestones achieved</t>
  </si>
  <si>
    <t>Open risks</t>
  </si>
  <si>
    <t>Milestone tracker</t>
  </si>
  <si>
    <t>Status</t>
  </si>
  <si>
    <t>Risk heatmap (open risks at status date)</t>
  </si>
  <si>
    <t>Probability ↓  Impact →</t>
  </si>
  <si>
    <t>Numbers = count of open risks in each cell. Source: Risks sheet (from the RAID log).</t>
  </si>
  <si>
    <t>Variance</t>
  </si>
  <si>
    <t>PM commentary (status date)</t>
  </si>
  <si>
    <t>Amber overall. Data cleansing (task 4.1) is forecast to finish 10 working days late because ~18% of legacy records are duplicates (issue I01). Go-live is forecast for 27 May against a 20 May baseline: a 4 working-day slip, inside the 1-week tolerance. CR01 (accounting connector, £900) approved. EAC is £1,780 over base budget and within contingency. Decision needed: none. Next: complete cleansing, trial migration, UAT from 19 May.</t>
  </si>
  <si>
    <t>Issues at status date</t>
  </si>
  <si>
    <t>At status date</t>
  </si>
  <si>
    <t>Next fortnight</t>
  </si>
  <si>
    <t>• Finish data cleansing (4.1) and run trial migration with reconciliation (4.2)</t>
  </si>
  <si>
    <t>• Complete configuration (M4, 12 May); tablets enrolled and tested offline</t>
  </si>
  <si>
    <t>• Office and field training 14–15 May; UAT 19–22 May; go/no-go 22 May</t>
  </si>
</sst>
</file>

<file path=xl/styles.xml><?xml version="1.0" encoding="utf-8"?>
<styleSheet xmlns="http://schemas.openxmlformats.org/spreadsheetml/2006/main">
  <numFmts count="5">
    <numFmt numFmtId="164" formatCode="dd mmm yyyy"/>
    <numFmt numFmtId="165" formatCode="£#,##0"/>
    <numFmt numFmtId="166" formatCode="0%"/>
    <numFmt numFmtId="167" formatCode="0;-0;&quot;&quot;"/>
    <numFmt numFmtId="168" formatCode="0.0%"/>
  </numFmts>
  <fonts count="18">
    <font>
      <sz val="11"/>
      <color theme="1"/>
      <name val="Calibri"/>
      <family val="2"/>
      <scheme val="minor"/>
    </font>
    <font>
      <b/>
      <sz val="10"/>
      <color rgb="FF7C4A03"/>
      <name val="Calibri"/>
      <family val="2"/>
      <scheme val="minor"/>
    </font>
    <font>
      <b/>
      <sz val="15"/>
      <color rgb="FF0F1D3A"/>
      <name val="Calibri"/>
      <family val="2"/>
      <scheme val="minor"/>
    </font>
    <font>
      <i/>
      <sz val="10"/>
      <color rgb="FF5C677D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B6E6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5C677D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33415C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7C4A03"/>
      <name val="Calibri"/>
      <family val="2"/>
      <scheme val="minor"/>
    </font>
    <font>
      <b/>
      <sz val="12"/>
      <color rgb="FF9C0006"/>
      <name val="Calibri"/>
      <family val="2"/>
      <scheme val="minor"/>
    </font>
    <font>
      <i/>
      <sz val="8"/>
      <color rgb="FF5C677D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DF0D8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0F1D3A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EF1F6"/>
        <bgColor indexed="64"/>
      </patternFill>
    </fill>
  </fills>
  <borders count="5">
    <border>
      <left/>
      <right/>
      <top/>
      <bottom/>
      <diagonal/>
    </border>
    <border>
      <left style="thin">
        <color rgb="FFE0B060"/>
      </left>
      <right style="thin">
        <color rgb="FFE0B060"/>
      </right>
      <top style="thin">
        <color rgb="FFE0B060"/>
      </top>
      <bottom style="thin">
        <color rgb="FFE0B060"/>
      </bottom>
      <diagonal/>
    </border>
    <border>
      <left style="thin">
        <color rgb="FFC9D1DE"/>
      </left>
      <right style="thin">
        <color rgb="FFC9D1DE"/>
      </right>
      <top style="thin">
        <color rgb="FFC9D1DE"/>
      </top>
      <bottom style="thin">
        <color rgb="FFC9D1DE"/>
      </bottom>
      <diagonal/>
    </border>
    <border>
      <left/>
      <right/>
      <top/>
      <bottom style="medium">
        <color rgb="FF0B6E6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2" xfId="0" applyFont="1" applyBorder="1" applyAlignment="1">
      <alignment vertical="top" wrapText="1"/>
    </xf>
    <xf numFmtId="164" fontId="5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8" fillId="4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center" wrapText="1"/>
    </xf>
    <xf numFmtId="165" fontId="12" fillId="0" borderId="2" xfId="0" applyNumberFormat="1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164" fontId="10" fillId="0" borderId="2" xfId="0" applyNumberFormat="1" applyFont="1" applyBorder="1" applyAlignment="1">
      <alignment horizontal="center" vertical="top"/>
    </xf>
    <xf numFmtId="1" fontId="10" fillId="0" borderId="2" xfId="0" applyNumberFormat="1" applyFont="1" applyBorder="1" applyAlignment="1">
      <alignment horizontal="center" vertical="top"/>
    </xf>
    <xf numFmtId="167" fontId="13" fillId="6" borderId="4" xfId="0" applyNumberFormat="1" applyFont="1" applyFill="1" applyBorder="1" applyAlignment="1">
      <alignment horizontal="center" vertical="center"/>
    </xf>
    <xf numFmtId="167" fontId="14" fillId="7" borderId="4" xfId="0" applyNumberFormat="1" applyFont="1" applyFill="1" applyBorder="1" applyAlignment="1">
      <alignment horizontal="center" vertical="center"/>
    </xf>
    <xf numFmtId="167" fontId="15" fillId="8" borderId="4" xfId="0" applyNumberFormat="1" applyFont="1" applyFill="1" applyBorder="1" applyAlignment="1">
      <alignment horizontal="center" vertical="center"/>
    </xf>
    <xf numFmtId="0" fontId="16" fillId="0" borderId="0" xfId="0" applyFont="1"/>
    <xf numFmtId="165" fontId="10" fillId="0" borderId="2" xfId="0" applyNumberFormat="1" applyFont="1" applyBorder="1" applyAlignment="1">
      <alignment vertical="top"/>
    </xf>
    <xf numFmtId="168" fontId="10" fillId="0" borderId="2" xfId="0" applyNumberFormat="1" applyFont="1" applyBorder="1" applyAlignment="1">
      <alignment vertical="top"/>
    </xf>
    <xf numFmtId="165" fontId="4" fillId="9" borderId="2" xfId="0" applyNumberFormat="1" applyFont="1" applyFill="1" applyBorder="1" applyAlignment="1">
      <alignment vertical="top"/>
    </xf>
    <xf numFmtId="0" fontId="17" fillId="5" borderId="2" xfId="0" applyFont="1" applyFill="1" applyBorder="1" applyAlignment="1">
      <alignment vertical="top" wrapText="1"/>
    </xf>
    <xf numFmtId="0" fontId="17" fillId="0" borderId="2" xfId="0" applyFont="1" applyBorder="1" applyAlignment="1">
      <alignment vertical="center" wrapText="1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5">
    <dxf>
      <font>
        <color rgb="FF7C4A03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6100"/>
      </font>
    </dxf>
    <dxf>
      <font>
        <color rgb="FF9AA3B5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Budget vs actual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Budget</c:v>
          </c:tx>
          <c:spPr>
            <a:solidFill>
              <a:srgbClr val="C9D1DE"/>
            </a:solidFill>
            <a:ln>
              <a:noFill/>
            </a:ln>
          </c:spPr>
          <c:cat>
            <c:strRef>
              <c:f>Budget!$A$6:$A$11</c:f>
              <c:strCache>
                <c:ptCount val="6"/>
                <c:pt idx="0">
                  <c:v>CRM licences (18 users, year 1)</c:v>
                </c:pt>
                <c:pt idx="1">
                  <c:v>Supplier configuration and integration</c:v>
                </c:pt>
                <c:pt idx="2">
                  <c:v>Data migration and cleansing</c:v>
                </c:pt>
                <c:pt idx="3">
                  <c:v>Training and materials</c:v>
                </c:pt>
                <c:pt idx="4">
                  <c:v>Internal staff time (backfill)</c:v>
                </c:pt>
                <c:pt idx="5">
                  <c:v>Hardware (6 rugged tablets and cases)</c:v>
                </c:pt>
              </c:strCache>
            </c:strRef>
          </c:cat>
          <c:val>
            <c:numRef>
              <c:f>Budget!$B$6:$B$11</c:f>
              <c:numCache>
                <c:formatCode>General</c:formatCode>
                <c:ptCount val="6"/>
                <c:pt idx="0">
                  <c:v>6800</c:v>
                </c:pt>
                <c:pt idx="1">
                  <c:v>9500</c:v>
                </c:pt>
                <c:pt idx="2">
                  <c:v>4200</c:v>
                </c:pt>
                <c:pt idx="3">
                  <c:v>3000</c:v>
                </c:pt>
                <c:pt idx="4">
                  <c:v>6000</c:v>
                </c:pt>
                <c:pt idx="5">
                  <c:v>3500</c:v>
                </c:pt>
              </c:numCache>
            </c:numRef>
          </c:val>
        </c:ser>
        <c:ser>
          <c:idx val="1"/>
          <c:order val="1"/>
          <c:tx>
            <c:v>Actual to date</c:v>
          </c:tx>
          <c:spPr>
            <a:solidFill>
              <a:srgbClr val="0B6E69"/>
            </a:solidFill>
            <a:ln>
              <a:noFill/>
            </a:ln>
          </c:spPr>
          <c:cat>
            <c:strRef>
              <c:f>Budget!$A$6:$A$11</c:f>
              <c:strCache>
                <c:ptCount val="6"/>
                <c:pt idx="0">
                  <c:v>CRM licences (18 users, year 1)</c:v>
                </c:pt>
                <c:pt idx="1">
                  <c:v>Supplier configuration and integration</c:v>
                </c:pt>
                <c:pt idx="2">
                  <c:v>Data migration and cleansing</c:v>
                </c:pt>
                <c:pt idx="3">
                  <c:v>Training and materials</c:v>
                </c:pt>
                <c:pt idx="4">
                  <c:v>Internal staff time (backfill)</c:v>
                </c:pt>
                <c:pt idx="5">
                  <c:v>Hardware (6 rugged tablets and cases)</c:v>
                </c:pt>
              </c:strCache>
            </c:strRef>
          </c:cat>
          <c:val>
            <c:numRef>
              <c:f>Budget!$C$6:$C$11</c:f>
              <c:numCache>
                <c:formatCode>General</c:formatCode>
                <c:ptCount val="6"/>
                <c:pt idx="0">
                  <c:v>6800</c:v>
                </c:pt>
                <c:pt idx="1">
                  <c:v>7600</c:v>
                </c:pt>
                <c:pt idx="2">
                  <c:v>4200</c:v>
                </c:pt>
                <c:pt idx="3">
                  <c:v>600</c:v>
                </c:pt>
                <c:pt idx="4">
                  <c:v>3900</c:v>
                </c:pt>
                <c:pt idx="5">
                  <c:v>3380</c:v>
                </c:pt>
              </c:numCache>
            </c:numRef>
          </c:val>
        </c:ser>
        <c:ser>
          <c:idx val="2"/>
          <c:order val="2"/>
          <c:tx>
            <c:v>Forecast (EAC)</c:v>
          </c:tx>
          <c:spPr>
            <a:solidFill>
              <a:srgbClr val="0F1D3A"/>
            </a:solidFill>
            <a:ln>
              <a:noFill/>
            </a:ln>
          </c:spPr>
          <c:cat>
            <c:strRef>
              <c:f>Budget!$A$6:$A$11</c:f>
              <c:strCache>
                <c:ptCount val="6"/>
                <c:pt idx="0">
                  <c:v>CRM licences (18 users, year 1)</c:v>
                </c:pt>
                <c:pt idx="1">
                  <c:v>Supplier configuration and integration</c:v>
                </c:pt>
                <c:pt idx="2">
                  <c:v>Data migration and cleansing</c:v>
                </c:pt>
                <c:pt idx="3">
                  <c:v>Training and materials</c:v>
                </c:pt>
                <c:pt idx="4">
                  <c:v>Internal staff time (backfill)</c:v>
                </c:pt>
                <c:pt idx="5">
                  <c:v>Hardware (6 rugged tablets and cases)</c:v>
                </c:pt>
              </c:strCache>
            </c:strRef>
          </c:cat>
          <c:val>
            <c:numRef>
              <c:f>Budget!$D$6:$D$11</c:f>
              <c:numCache>
                <c:formatCode>General</c:formatCode>
                <c:ptCount val="6"/>
                <c:pt idx="0">
                  <c:v>6800</c:v>
                </c:pt>
                <c:pt idx="1">
                  <c:v>10400</c:v>
                </c:pt>
                <c:pt idx="2">
                  <c:v>4900</c:v>
                </c:pt>
                <c:pt idx="3">
                  <c:v>3000</c:v>
                </c:pt>
                <c:pt idx="4">
                  <c:v>6300</c:v>
                </c:pt>
                <c:pt idx="5">
                  <c:v>3380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>
          <c:spPr>
            <a:ln>
              <a:solidFill>
                <a:srgbClr val="E3E8EF"/>
              </a:solidFill>
            </a:ln>
          </c:spPr>
        </c:majorGridlines>
        <c:numFmt formatCode="£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1" baseline="0"/>
            </a:pPr>
            <a:r>
              <a:rPr lang="en-US" sz="1000" b="1" baseline="0"/>
              <a:t>Cumulative spend: plan vs actual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Planned (cumulative)</c:v>
          </c:tx>
          <c:spPr>
            <a:ln w="28575">
              <a:solidFill>
                <a:srgbClr val="C9D1DE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C9D1DE"/>
              </a:solidFill>
              <a:ln>
                <a:solidFill>
                  <a:srgbClr val="C9D1DE"/>
                </a:solidFill>
              </a:ln>
            </c:spPr>
          </c:marker>
          <c:cat>
            <c:strRef>
              <c:f>'Spend profile'!$A$6:$A$9</c:f>
              <c:strCache>
                <c:ptCount val="4"/>
                <c:pt idx="0">
                  <c:v>Mar 2026</c:v>
                </c:pt>
                <c:pt idx="1">
                  <c:v>Apr 2026</c:v>
                </c:pt>
                <c:pt idx="2">
                  <c:v>May 2026</c:v>
                </c:pt>
                <c:pt idx="3">
                  <c:v>Jun 2026</c:v>
                </c:pt>
              </c:strCache>
            </c:strRef>
          </c:cat>
          <c:val>
            <c:numRef>
              <c:f>'Spend profile'!$B$6:$B$9</c:f>
              <c:numCache>
                <c:formatCode>General</c:formatCode>
                <c:ptCount val="4"/>
                <c:pt idx="0">
                  <c:v>2100</c:v>
                </c:pt>
                <c:pt idx="1">
                  <c:v>17400</c:v>
                </c:pt>
                <c:pt idx="2">
                  <c:v>28900</c:v>
                </c:pt>
                <c:pt idx="3">
                  <c:v>33000</c:v>
                </c:pt>
              </c:numCache>
            </c:numRef>
          </c:val>
        </c:ser>
        <c:ser>
          <c:idx val="1"/>
          <c:order val="1"/>
          <c:tx>
            <c:v>Actual (cumulative)</c:v>
          </c:tx>
          <c:spPr>
            <a:ln w="31750">
              <a:solidFill>
                <a:srgbClr val="0B6E69"/>
              </a:solidFill>
            </a:ln>
          </c:spPr>
          <c:marker>
            <c:symbol val="circle"/>
            <c:size val="6"/>
            <c:spPr>
              <a:solidFill>
                <a:srgbClr val="0B6E69"/>
              </a:solidFill>
              <a:ln>
                <a:solidFill>
                  <a:srgbClr val="0B6E69"/>
                </a:solidFill>
              </a:ln>
            </c:spPr>
          </c:marker>
          <c:cat>
            <c:strRef>
              <c:f>'Spend profile'!$A$6:$A$9</c:f>
              <c:strCache>
                <c:ptCount val="4"/>
                <c:pt idx="0">
                  <c:v>Mar 2026</c:v>
                </c:pt>
                <c:pt idx="1">
                  <c:v>Apr 2026</c:v>
                </c:pt>
                <c:pt idx="2">
                  <c:v>May 2026</c:v>
                </c:pt>
                <c:pt idx="3">
                  <c:v>Jun 2026</c:v>
                </c:pt>
              </c:strCache>
            </c:strRef>
          </c:cat>
          <c:val>
            <c:numRef>
              <c:f>'Spend profile'!$C$6:$C$9</c:f>
              <c:numCache>
                <c:formatCode>General</c:formatCode>
                <c:ptCount val="4"/>
                <c:pt idx="0">
                  <c:v>2050</c:v>
                </c:pt>
                <c:pt idx="1">
                  <c:v>18350</c:v>
                </c:pt>
                <c:pt idx="2">
                  <c:v>26480</c:v>
                </c:pt>
                <c:pt idx="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3E8EF"/>
              </a:solidFill>
            </a:ln>
          </c:spPr>
        </c:majorGridlines>
        <c:numFmt formatCode="£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24</xdr:row>
      <xdr:rowOff>0</xdr:rowOff>
    </xdr:from>
    <xdr:to>
      <xdr:col>14</xdr:col>
      <xdr:colOff>238125</xdr:colOff>
      <xdr:row>37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</xdr:colOff>
      <xdr:row>40</xdr:row>
      <xdr:rowOff>0</xdr:rowOff>
    </xdr:from>
    <xdr:to>
      <xdr:col>14</xdr:col>
      <xdr:colOff>238125</xdr:colOff>
      <xdr:row>49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0"/>
  <sheetViews>
    <sheetView showGridLines="0" tabSelected="1" workbookViewId="0"/>
  </sheetViews>
  <sheetFormatPr defaultRowHeight="15"/>
  <cols>
    <col min="1" max="1" width="36.7109375" customWidth="1"/>
    <col min="2" max="3" width="12.7109375" customWidth="1"/>
    <col min="4" max="4" width="11.7109375" customWidth="1"/>
    <col min="5" max="5" width="12.7109375" customWidth="1"/>
    <col min="6" max="6" width="11.7109375" customWidth="1"/>
    <col min="7" max="7" width="3.7109375" customWidth="1"/>
    <col min="8" max="8" width="13.7109375" customWidth="1"/>
    <col min="9" max="13" width="9.7109375" customWidth="1"/>
  </cols>
  <sheetData>
    <row r="1" spans="1:13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97</v>
      </c>
    </row>
    <row r="3" spans="1:13">
      <c r="A3" s="3" t="s">
        <v>98</v>
      </c>
    </row>
    <row r="4" spans="1:13" ht="26" customHeight="1">
      <c r="A4" s="4" t="s">
        <v>99</v>
      </c>
      <c r="B4" s="5">
        <v>46150</v>
      </c>
      <c r="C4" s="3" t="s">
        <v>100</v>
      </c>
      <c r="H4" s="4" t="s">
        <v>101</v>
      </c>
      <c r="I4" s="6">
        <f>IF(COUNTIF(B8:B12,"Red")&gt;0,"Red",IF(COUNTIF(B8:B12,"Amber")&gt;0,"Amber","Green"))</f>
        <v>0</v>
      </c>
      <c r="J4" s="6"/>
    </row>
    <row r="6" spans="1:13">
      <c r="A6" s="7" t="s">
        <v>102</v>
      </c>
      <c r="H6" s="7" t="s">
        <v>116</v>
      </c>
    </row>
    <row r="7" spans="1:13">
      <c r="A7" s="8" t="s">
        <v>103</v>
      </c>
      <c r="B7" s="8" t="s">
        <v>104</v>
      </c>
      <c r="C7" s="8" t="s">
        <v>105</v>
      </c>
      <c r="D7" s="8"/>
      <c r="E7" s="8"/>
      <c r="F7" s="8"/>
      <c r="H7" s="9" t="s">
        <v>117</v>
      </c>
      <c r="I7" s="9"/>
      <c r="J7" s="9" t="s">
        <v>118</v>
      </c>
      <c r="K7" s="9"/>
      <c r="L7" s="9" t="s">
        <v>119</v>
      </c>
      <c r="M7" s="9"/>
    </row>
    <row r="8" spans="1:13" ht="22" customHeight="1">
      <c r="A8" s="4" t="s">
        <v>106</v>
      </c>
      <c r="B8" s="10">
        <f>IF(MAX(Milestones!$E$6:$E$12)&gt;5,"Red",IF(MAX(Milestones!$E$6:$E$12)&gt;0,"Amber","Green"))</f>
        <v>0</v>
      </c>
      <c r="C8" s="11" t="s">
        <v>107</v>
      </c>
      <c r="D8" s="11"/>
      <c r="E8" s="11"/>
      <c r="F8" s="11"/>
      <c r="H8" s="12">
        <f>Budget!B14</f>
        <v>0</v>
      </c>
      <c r="I8" s="12"/>
      <c r="J8" s="12">
        <f>Budget!C12</f>
        <v>0</v>
      </c>
      <c r="K8" s="12"/>
      <c r="L8" s="12">
        <f>Budget!D12</f>
        <v>0</v>
      </c>
      <c r="M8" s="12"/>
    </row>
    <row r="9" spans="1:13" ht="22" customHeight="1">
      <c r="A9" s="4" t="s">
        <v>108</v>
      </c>
      <c r="B9" s="10">
        <f>IF(Budget!D12&gt;Budget!B14,"Red",IF(Budget!D12&gt;Budget!B12,"Amber","Green"))</f>
        <v>0</v>
      </c>
      <c r="C9" s="11" t="s">
        <v>109</v>
      </c>
      <c r="D9" s="11"/>
      <c r="E9" s="11"/>
      <c r="F9" s="11"/>
      <c r="H9" s="12"/>
      <c r="I9" s="12"/>
      <c r="J9" s="12"/>
      <c r="K9" s="12"/>
      <c r="L9" s="12"/>
      <c r="M9" s="12"/>
    </row>
    <row r="10" spans="1:13" ht="22" customHeight="1">
      <c r="A10" s="4" t="s">
        <v>110</v>
      </c>
      <c r="B10" s="10">
        <f>"Green"</f>
        <v>0</v>
      </c>
      <c r="C10" s="11" t="s">
        <v>111</v>
      </c>
      <c r="D10" s="11"/>
      <c r="E10" s="11"/>
      <c r="F10" s="11"/>
      <c r="H10" s="9" t="s">
        <v>120</v>
      </c>
      <c r="I10" s="9"/>
      <c r="J10" s="9" t="s">
        <v>121</v>
      </c>
      <c r="K10" s="9"/>
      <c r="L10" s="9" t="s">
        <v>122</v>
      </c>
      <c r="M10" s="9"/>
    </row>
    <row r="11" spans="1:13" ht="22" customHeight="1">
      <c r="A11" s="4" t="s">
        <v>112</v>
      </c>
      <c r="B11" s="10">
        <f>IF(SUMPRODUCT((Risks!$F$6:$F$14&gt;=15)*(Risks!$C$6:$C$14&lt;=StatusDate)*((Risks!$G$6:$G$14="")+(Risks!$G$6:$G$14&gt;StatusDate)))&gt;1,"Red",IF(SUMPRODUCT((Risks!$F$6:$F$14&gt;=15)*(Risks!$C$6:$C$14&lt;=StatusDate)*((Risks!$G$6:$G$14="")+(Risks!$G$6:$G$14&gt;StatusDate)))=1,"Amber","Green"))</f>
        <v>0</v>
      </c>
      <c r="C11" s="11" t="s">
        <v>113</v>
      </c>
      <c r="D11" s="11"/>
      <c r="E11" s="11"/>
      <c r="F11" s="11"/>
      <c r="H11" s="12">
        <f>Budget!B15</f>
        <v>0</v>
      </c>
      <c r="I11" s="12"/>
      <c r="J11" s="13">
        <f>COUNTIF(Milestones!$D$6:$D$12,"&lt;="&amp;StatusDate)/7</f>
        <v>0</v>
      </c>
      <c r="K11" s="13"/>
      <c r="L11" s="14">
        <f>SUMPRODUCT((Risks!$C$6:$C$14&lt;=StatusDate)*((Risks!$G$6:$G$14="")+(Risks!$G$6:$G$14&gt;StatusDate)))</f>
        <v>0</v>
      </c>
      <c r="M11" s="14"/>
    </row>
    <row r="12" spans="1:13" ht="22" customHeight="1">
      <c r="A12" s="4" t="s">
        <v>114</v>
      </c>
      <c r="B12" s="10">
        <f>IF(SUMPRODUCT((Issues!$D$6:$D$9="High")*(Issues!$C$6:$C$9&lt;=StatusDate)*((Issues!$E$6:$E$9="")+(Issues!$E$6:$E$9&gt;StatusDate)))&gt;0,"Amber","Green")</f>
        <v>0</v>
      </c>
      <c r="C12" s="11" t="s">
        <v>115</v>
      </c>
      <c r="D12" s="11"/>
      <c r="E12" s="11"/>
      <c r="F12" s="11"/>
      <c r="H12" s="12"/>
      <c r="I12" s="12"/>
      <c r="J12" s="13"/>
      <c r="K12" s="13"/>
      <c r="L12" s="14"/>
      <c r="M12" s="14"/>
    </row>
    <row r="14" spans="1:13">
      <c r="A14" s="7" t="s">
        <v>123</v>
      </c>
      <c r="H14" s="7" t="s">
        <v>125</v>
      </c>
    </row>
    <row r="15" spans="1:13" ht="28" customHeight="1">
      <c r="A15" s="8" t="s">
        <v>4</v>
      </c>
      <c r="B15" s="8" t="s">
        <v>5</v>
      </c>
      <c r="C15" s="8" t="s">
        <v>6</v>
      </c>
      <c r="D15" s="8" t="s">
        <v>7</v>
      </c>
      <c r="E15" s="8" t="s">
        <v>124</v>
      </c>
      <c r="F15" s="8" t="s">
        <v>104</v>
      </c>
      <c r="H15" s="9" t="s">
        <v>126</v>
      </c>
      <c r="I15" s="8">
        <v>1</v>
      </c>
      <c r="J15" s="8">
        <v>2</v>
      </c>
      <c r="K15" s="8">
        <v>3</v>
      </c>
      <c r="L15" s="8">
        <v>4</v>
      </c>
      <c r="M15" s="8">
        <v>5</v>
      </c>
    </row>
    <row r="16" spans="1:13" ht="20" customHeight="1">
      <c r="A16" s="15">
        <f>Milestones!B6</f>
        <v>0</v>
      </c>
      <c r="B16" s="16">
        <f>Milestones!C6</f>
        <v>0</v>
      </c>
      <c r="C16" s="16">
        <f>Milestones!D6</f>
        <v>0</v>
      </c>
      <c r="D16" s="17">
        <f>Milestones!E6</f>
        <v>0</v>
      </c>
      <c r="E16" s="10">
        <f>IF(C16&lt;=StatusDate,"Achieved",IF(D16&gt;0,"Forecast late","On track"))</f>
        <v>0</v>
      </c>
      <c r="F16" s="10">
        <f>IF(D16&gt;5,"Red",IF(D16&gt;0,"Amber","Green"))</f>
        <v>0</v>
      </c>
      <c r="H16" s="8">
        <v>5</v>
      </c>
      <c r="I16" s="18">
        <f>COUNTIFS(Risks!$D$6:$D$14,5,Risks!$E$6:$E$14,1,Risks!$C$6:$C$14,"&lt;="&amp;StatusDate,Risks!$G$6:$G$14,"&gt;"&amp;StatusDate)+COUNTIFS(Risks!$D$6:$D$14,5,Risks!$E$6:$E$14,1,Risks!$C$6:$C$14,"&lt;="&amp;StatusDate,Risks!$G$6:$G$14,"")</f>
        <v>0</v>
      </c>
      <c r="J16" s="19">
        <f>COUNTIFS(Risks!$D$6:$D$14,5,Risks!$E$6:$E$14,2,Risks!$C$6:$C$14,"&lt;="&amp;StatusDate,Risks!$G$6:$G$14,"&gt;"&amp;StatusDate)+COUNTIFS(Risks!$D$6:$D$14,5,Risks!$E$6:$E$14,2,Risks!$C$6:$C$14,"&lt;="&amp;StatusDate,Risks!$G$6:$G$14,"")</f>
        <v>0</v>
      </c>
      <c r="K16" s="20">
        <f>COUNTIFS(Risks!$D$6:$D$14,5,Risks!$E$6:$E$14,3,Risks!$C$6:$C$14,"&lt;="&amp;StatusDate,Risks!$G$6:$G$14,"&gt;"&amp;StatusDate)+COUNTIFS(Risks!$D$6:$D$14,5,Risks!$E$6:$E$14,3,Risks!$C$6:$C$14,"&lt;="&amp;StatusDate,Risks!$G$6:$G$14,"")</f>
        <v>0</v>
      </c>
      <c r="L16" s="20">
        <f>COUNTIFS(Risks!$D$6:$D$14,5,Risks!$E$6:$E$14,4,Risks!$C$6:$C$14,"&lt;="&amp;StatusDate,Risks!$G$6:$G$14,"&gt;"&amp;StatusDate)+COUNTIFS(Risks!$D$6:$D$14,5,Risks!$E$6:$E$14,4,Risks!$C$6:$C$14,"&lt;="&amp;StatusDate,Risks!$G$6:$G$14,"")</f>
        <v>0</v>
      </c>
      <c r="M16" s="20">
        <f>COUNTIFS(Risks!$D$6:$D$14,5,Risks!$E$6:$E$14,5,Risks!$C$6:$C$14,"&lt;="&amp;StatusDate,Risks!$G$6:$G$14,"&gt;"&amp;StatusDate)+COUNTIFS(Risks!$D$6:$D$14,5,Risks!$E$6:$E$14,5,Risks!$C$6:$C$14,"&lt;="&amp;StatusDate,Risks!$G$6:$G$14,"")</f>
        <v>0</v>
      </c>
    </row>
    <row r="17" spans="1:13" ht="20" customHeight="1">
      <c r="A17" s="15">
        <f>Milestones!B7</f>
        <v>0</v>
      </c>
      <c r="B17" s="16">
        <f>Milestones!C7</f>
        <v>0</v>
      </c>
      <c r="C17" s="16">
        <f>Milestones!D7</f>
        <v>0</v>
      </c>
      <c r="D17" s="17">
        <f>Milestones!E7</f>
        <v>0</v>
      </c>
      <c r="E17" s="10">
        <f>IF(C17&lt;=StatusDate,"Achieved",IF(D17&gt;0,"Forecast late","On track"))</f>
        <v>0</v>
      </c>
      <c r="F17" s="10">
        <f>IF(D17&gt;5,"Red",IF(D17&gt;0,"Amber","Green"))</f>
        <v>0</v>
      </c>
      <c r="H17" s="8">
        <v>4</v>
      </c>
      <c r="I17" s="18">
        <f>COUNTIFS(Risks!$D$6:$D$14,4,Risks!$E$6:$E$14,1,Risks!$C$6:$C$14,"&lt;="&amp;StatusDate,Risks!$G$6:$G$14,"&gt;"&amp;StatusDate)+COUNTIFS(Risks!$D$6:$D$14,4,Risks!$E$6:$E$14,1,Risks!$C$6:$C$14,"&lt;="&amp;StatusDate,Risks!$G$6:$G$14,"")</f>
        <v>0</v>
      </c>
      <c r="J17" s="19">
        <f>COUNTIFS(Risks!$D$6:$D$14,4,Risks!$E$6:$E$14,2,Risks!$C$6:$C$14,"&lt;="&amp;StatusDate,Risks!$G$6:$G$14,"&gt;"&amp;StatusDate)+COUNTIFS(Risks!$D$6:$D$14,4,Risks!$E$6:$E$14,2,Risks!$C$6:$C$14,"&lt;="&amp;StatusDate,Risks!$G$6:$G$14,"")</f>
        <v>0</v>
      </c>
      <c r="K17" s="19">
        <f>COUNTIFS(Risks!$D$6:$D$14,4,Risks!$E$6:$E$14,3,Risks!$C$6:$C$14,"&lt;="&amp;StatusDate,Risks!$G$6:$G$14,"&gt;"&amp;StatusDate)+COUNTIFS(Risks!$D$6:$D$14,4,Risks!$E$6:$E$14,3,Risks!$C$6:$C$14,"&lt;="&amp;StatusDate,Risks!$G$6:$G$14,"")</f>
        <v>0</v>
      </c>
      <c r="L17" s="20">
        <f>COUNTIFS(Risks!$D$6:$D$14,4,Risks!$E$6:$E$14,4,Risks!$C$6:$C$14,"&lt;="&amp;StatusDate,Risks!$G$6:$G$14,"&gt;"&amp;StatusDate)+COUNTIFS(Risks!$D$6:$D$14,4,Risks!$E$6:$E$14,4,Risks!$C$6:$C$14,"&lt;="&amp;StatusDate,Risks!$G$6:$G$14,"")</f>
        <v>0</v>
      </c>
      <c r="M17" s="20">
        <f>COUNTIFS(Risks!$D$6:$D$14,4,Risks!$E$6:$E$14,5,Risks!$C$6:$C$14,"&lt;="&amp;StatusDate,Risks!$G$6:$G$14,"&gt;"&amp;StatusDate)+COUNTIFS(Risks!$D$6:$D$14,4,Risks!$E$6:$E$14,5,Risks!$C$6:$C$14,"&lt;="&amp;StatusDate,Risks!$G$6:$G$14,"")</f>
        <v>0</v>
      </c>
    </row>
    <row r="18" spans="1:13" ht="20" customHeight="1">
      <c r="A18" s="15">
        <f>Milestones!B8</f>
        <v>0</v>
      </c>
      <c r="B18" s="16">
        <f>Milestones!C8</f>
        <v>0</v>
      </c>
      <c r="C18" s="16">
        <f>Milestones!D8</f>
        <v>0</v>
      </c>
      <c r="D18" s="17">
        <f>Milestones!E8</f>
        <v>0</v>
      </c>
      <c r="E18" s="10">
        <f>IF(C18&lt;=StatusDate,"Achieved",IF(D18&gt;0,"Forecast late","On track"))</f>
        <v>0</v>
      </c>
      <c r="F18" s="10">
        <f>IF(D18&gt;5,"Red",IF(D18&gt;0,"Amber","Green"))</f>
        <v>0</v>
      </c>
      <c r="H18" s="8">
        <v>3</v>
      </c>
      <c r="I18" s="18">
        <f>COUNTIFS(Risks!$D$6:$D$14,3,Risks!$E$6:$E$14,1,Risks!$C$6:$C$14,"&lt;="&amp;StatusDate,Risks!$G$6:$G$14,"&gt;"&amp;StatusDate)+COUNTIFS(Risks!$D$6:$D$14,3,Risks!$E$6:$E$14,1,Risks!$C$6:$C$14,"&lt;="&amp;StatusDate,Risks!$G$6:$G$14,"")</f>
        <v>0</v>
      </c>
      <c r="J18" s="18">
        <f>COUNTIFS(Risks!$D$6:$D$14,3,Risks!$E$6:$E$14,2,Risks!$C$6:$C$14,"&lt;="&amp;StatusDate,Risks!$G$6:$G$14,"&gt;"&amp;StatusDate)+COUNTIFS(Risks!$D$6:$D$14,3,Risks!$E$6:$E$14,2,Risks!$C$6:$C$14,"&lt;="&amp;StatusDate,Risks!$G$6:$G$14,"")</f>
        <v>0</v>
      </c>
      <c r="K18" s="19">
        <f>COUNTIFS(Risks!$D$6:$D$14,3,Risks!$E$6:$E$14,3,Risks!$C$6:$C$14,"&lt;="&amp;StatusDate,Risks!$G$6:$G$14,"&gt;"&amp;StatusDate)+COUNTIFS(Risks!$D$6:$D$14,3,Risks!$E$6:$E$14,3,Risks!$C$6:$C$14,"&lt;="&amp;StatusDate,Risks!$G$6:$G$14,"")</f>
        <v>0</v>
      </c>
      <c r="L18" s="19">
        <f>COUNTIFS(Risks!$D$6:$D$14,3,Risks!$E$6:$E$14,4,Risks!$C$6:$C$14,"&lt;="&amp;StatusDate,Risks!$G$6:$G$14,"&gt;"&amp;StatusDate)+COUNTIFS(Risks!$D$6:$D$14,3,Risks!$E$6:$E$14,4,Risks!$C$6:$C$14,"&lt;="&amp;StatusDate,Risks!$G$6:$G$14,"")</f>
        <v>0</v>
      </c>
      <c r="M18" s="20">
        <f>COUNTIFS(Risks!$D$6:$D$14,3,Risks!$E$6:$E$14,5,Risks!$C$6:$C$14,"&lt;="&amp;StatusDate,Risks!$G$6:$G$14,"&gt;"&amp;StatusDate)+COUNTIFS(Risks!$D$6:$D$14,3,Risks!$E$6:$E$14,5,Risks!$C$6:$C$14,"&lt;="&amp;StatusDate,Risks!$G$6:$G$14,"")</f>
        <v>0</v>
      </c>
    </row>
    <row r="19" spans="1:13" ht="20" customHeight="1">
      <c r="A19" s="15">
        <f>Milestones!B9</f>
        <v>0</v>
      </c>
      <c r="B19" s="16">
        <f>Milestones!C9</f>
        <v>0</v>
      </c>
      <c r="C19" s="16">
        <f>Milestones!D9</f>
        <v>0</v>
      </c>
      <c r="D19" s="17">
        <f>Milestones!E9</f>
        <v>0</v>
      </c>
      <c r="E19" s="10">
        <f>IF(C19&lt;=StatusDate,"Achieved",IF(D19&gt;0,"Forecast late","On track"))</f>
        <v>0</v>
      </c>
      <c r="F19" s="10">
        <f>IF(D19&gt;5,"Red",IF(D19&gt;0,"Amber","Green"))</f>
        <v>0</v>
      </c>
      <c r="H19" s="8">
        <v>2</v>
      </c>
      <c r="I19" s="18">
        <f>COUNTIFS(Risks!$D$6:$D$14,2,Risks!$E$6:$E$14,1,Risks!$C$6:$C$14,"&lt;="&amp;StatusDate,Risks!$G$6:$G$14,"&gt;"&amp;StatusDate)+COUNTIFS(Risks!$D$6:$D$14,2,Risks!$E$6:$E$14,1,Risks!$C$6:$C$14,"&lt;="&amp;StatusDate,Risks!$G$6:$G$14,"")</f>
        <v>0</v>
      </c>
      <c r="J19" s="18">
        <f>COUNTIFS(Risks!$D$6:$D$14,2,Risks!$E$6:$E$14,2,Risks!$C$6:$C$14,"&lt;="&amp;StatusDate,Risks!$G$6:$G$14,"&gt;"&amp;StatusDate)+COUNTIFS(Risks!$D$6:$D$14,2,Risks!$E$6:$E$14,2,Risks!$C$6:$C$14,"&lt;="&amp;StatusDate,Risks!$G$6:$G$14,"")</f>
        <v>0</v>
      </c>
      <c r="K19" s="18">
        <f>COUNTIFS(Risks!$D$6:$D$14,2,Risks!$E$6:$E$14,3,Risks!$C$6:$C$14,"&lt;="&amp;StatusDate,Risks!$G$6:$G$14,"&gt;"&amp;StatusDate)+COUNTIFS(Risks!$D$6:$D$14,2,Risks!$E$6:$E$14,3,Risks!$C$6:$C$14,"&lt;="&amp;StatusDate,Risks!$G$6:$G$14,"")</f>
        <v>0</v>
      </c>
      <c r="L19" s="19">
        <f>COUNTIFS(Risks!$D$6:$D$14,2,Risks!$E$6:$E$14,4,Risks!$C$6:$C$14,"&lt;="&amp;StatusDate,Risks!$G$6:$G$14,"&gt;"&amp;StatusDate)+COUNTIFS(Risks!$D$6:$D$14,2,Risks!$E$6:$E$14,4,Risks!$C$6:$C$14,"&lt;="&amp;StatusDate,Risks!$G$6:$G$14,"")</f>
        <v>0</v>
      </c>
      <c r="M19" s="19">
        <f>COUNTIFS(Risks!$D$6:$D$14,2,Risks!$E$6:$E$14,5,Risks!$C$6:$C$14,"&lt;="&amp;StatusDate,Risks!$G$6:$G$14,"&gt;"&amp;StatusDate)+COUNTIFS(Risks!$D$6:$D$14,2,Risks!$E$6:$E$14,5,Risks!$C$6:$C$14,"&lt;="&amp;StatusDate,Risks!$G$6:$G$14,"")</f>
        <v>0</v>
      </c>
    </row>
    <row r="20" spans="1:13" ht="20" customHeight="1">
      <c r="A20" s="15">
        <f>Milestones!B10</f>
        <v>0</v>
      </c>
      <c r="B20" s="16">
        <f>Milestones!C10</f>
        <v>0</v>
      </c>
      <c r="C20" s="16">
        <f>Milestones!D10</f>
        <v>0</v>
      </c>
      <c r="D20" s="17">
        <f>Milestones!E10</f>
        <v>0</v>
      </c>
      <c r="E20" s="10">
        <f>IF(C20&lt;=StatusDate,"Achieved",IF(D20&gt;0,"Forecast late","On track"))</f>
        <v>0</v>
      </c>
      <c r="F20" s="10">
        <f>IF(D20&gt;5,"Red",IF(D20&gt;0,"Amber","Green"))</f>
        <v>0</v>
      </c>
      <c r="H20" s="8">
        <v>1</v>
      </c>
      <c r="I20" s="18">
        <f>COUNTIFS(Risks!$D$6:$D$14,1,Risks!$E$6:$E$14,1,Risks!$C$6:$C$14,"&lt;="&amp;StatusDate,Risks!$G$6:$G$14,"&gt;"&amp;StatusDate)+COUNTIFS(Risks!$D$6:$D$14,1,Risks!$E$6:$E$14,1,Risks!$C$6:$C$14,"&lt;="&amp;StatusDate,Risks!$G$6:$G$14,"")</f>
        <v>0</v>
      </c>
      <c r="J20" s="18">
        <f>COUNTIFS(Risks!$D$6:$D$14,1,Risks!$E$6:$E$14,2,Risks!$C$6:$C$14,"&lt;="&amp;StatusDate,Risks!$G$6:$G$14,"&gt;"&amp;StatusDate)+COUNTIFS(Risks!$D$6:$D$14,1,Risks!$E$6:$E$14,2,Risks!$C$6:$C$14,"&lt;="&amp;StatusDate,Risks!$G$6:$G$14,"")</f>
        <v>0</v>
      </c>
      <c r="K20" s="18">
        <f>COUNTIFS(Risks!$D$6:$D$14,1,Risks!$E$6:$E$14,3,Risks!$C$6:$C$14,"&lt;="&amp;StatusDate,Risks!$G$6:$G$14,"&gt;"&amp;StatusDate)+COUNTIFS(Risks!$D$6:$D$14,1,Risks!$E$6:$E$14,3,Risks!$C$6:$C$14,"&lt;="&amp;StatusDate,Risks!$G$6:$G$14,"")</f>
        <v>0</v>
      </c>
      <c r="L20" s="18">
        <f>COUNTIFS(Risks!$D$6:$D$14,1,Risks!$E$6:$E$14,4,Risks!$C$6:$C$14,"&lt;="&amp;StatusDate,Risks!$G$6:$G$14,"&gt;"&amp;StatusDate)+COUNTIFS(Risks!$D$6:$D$14,1,Risks!$E$6:$E$14,4,Risks!$C$6:$C$14,"&lt;="&amp;StatusDate,Risks!$G$6:$G$14,"")</f>
        <v>0</v>
      </c>
      <c r="M20" s="18">
        <f>COUNTIFS(Risks!$D$6:$D$14,1,Risks!$E$6:$E$14,5,Risks!$C$6:$C$14,"&lt;="&amp;StatusDate,Risks!$G$6:$G$14,"&gt;"&amp;StatusDate)+COUNTIFS(Risks!$D$6:$D$14,1,Risks!$E$6:$E$14,5,Risks!$C$6:$C$14,"&lt;="&amp;StatusDate,Risks!$G$6:$G$14,"")</f>
        <v>0</v>
      </c>
    </row>
    <row r="21" spans="1:13">
      <c r="A21" s="15">
        <f>Milestones!B11</f>
        <v>0</v>
      </c>
      <c r="B21" s="16">
        <f>Milestones!C11</f>
        <v>0</v>
      </c>
      <c r="C21" s="16">
        <f>Milestones!D11</f>
        <v>0</v>
      </c>
      <c r="D21" s="17">
        <f>Milestones!E11</f>
        <v>0</v>
      </c>
      <c r="E21" s="10">
        <f>IF(C21&lt;=StatusDate,"Achieved",IF(D21&gt;0,"Forecast late","On track"))</f>
        <v>0</v>
      </c>
      <c r="F21" s="10">
        <f>IF(D21&gt;5,"Red",IF(D21&gt;0,"Amber","Green"))</f>
        <v>0</v>
      </c>
      <c r="H21" s="21" t="s">
        <v>127</v>
      </c>
    </row>
    <row r="22" spans="1:13">
      <c r="A22" s="15">
        <f>Milestones!B12</f>
        <v>0</v>
      </c>
      <c r="B22" s="16">
        <f>Milestones!C12</f>
        <v>0</v>
      </c>
      <c r="C22" s="16">
        <f>Milestones!D12</f>
        <v>0</v>
      </c>
      <c r="D22" s="17">
        <f>Milestones!E12</f>
        <v>0</v>
      </c>
      <c r="E22" s="10">
        <f>IF(C22&lt;=StatusDate,"Achieved",IF(D22&gt;0,"Forecast late","On track"))</f>
        <v>0</v>
      </c>
      <c r="F22" s="10">
        <f>IF(D22&gt;5,"Red",IF(D22&gt;0,"Amber","Green"))</f>
        <v>0</v>
      </c>
    </row>
    <row r="25" spans="1:13">
      <c r="A25" s="7" t="s">
        <v>29</v>
      </c>
    </row>
    <row r="26" spans="1:13" ht="28" customHeight="1">
      <c r="A26" s="8" t="s">
        <v>31</v>
      </c>
      <c r="B26" s="8" t="s">
        <v>32</v>
      </c>
      <c r="C26" s="8" t="s">
        <v>33</v>
      </c>
      <c r="D26" s="8" t="s">
        <v>34</v>
      </c>
      <c r="E26" s="8" t="s">
        <v>128</v>
      </c>
      <c r="F26" s="8" t="s">
        <v>36</v>
      </c>
    </row>
    <row r="27" spans="1:13">
      <c r="A27" s="15">
        <f>Budget!A6</f>
        <v>0</v>
      </c>
      <c r="B27" s="22">
        <f>Budget!B6</f>
        <v>0</v>
      </c>
      <c r="C27" s="22">
        <f>Budget!C6</f>
        <v>0</v>
      </c>
      <c r="D27" s="22">
        <f>Budget!D6</f>
        <v>0</v>
      </c>
      <c r="E27" s="22">
        <f>Budget!E6</f>
        <v>0</v>
      </c>
      <c r="F27" s="23">
        <f>Budget!F6</f>
        <v>0</v>
      </c>
    </row>
    <row r="28" spans="1:13">
      <c r="A28" s="15">
        <f>Budget!A7</f>
        <v>0</v>
      </c>
      <c r="B28" s="22">
        <f>Budget!B7</f>
        <v>0</v>
      </c>
      <c r="C28" s="22">
        <f>Budget!C7</f>
        <v>0</v>
      </c>
      <c r="D28" s="22">
        <f>Budget!D7</f>
        <v>0</v>
      </c>
      <c r="E28" s="22">
        <f>Budget!E7</f>
        <v>0</v>
      </c>
      <c r="F28" s="23">
        <f>Budget!F7</f>
        <v>0</v>
      </c>
    </row>
    <row r="29" spans="1:13">
      <c r="A29" s="15">
        <f>Budget!A8</f>
        <v>0</v>
      </c>
      <c r="B29" s="22">
        <f>Budget!B8</f>
        <v>0</v>
      </c>
      <c r="C29" s="22">
        <f>Budget!C8</f>
        <v>0</v>
      </c>
      <c r="D29" s="22">
        <f>Budget!D8</f>
        <v>0</v>
      </c>
      <c r="E29" s="22">
        <f>Budget!E8</f>
        <v>0</v>
      </c>
      <c r="F29" s="23">
        <f>Budget!F8</f>
        <v>0</v>
      </c>
    </row>
    <row r="30" spans="1:13">
      <c r="A30" s="15">
        <f>Budget!A9</f>
        <v>0</v>
      </c>
      <c r="B30" s="22">
        <f>Budget!B9</f>
        <v>0</v>
      </c>
      <c r="C30" s="22">
        <f>Budget!C9</f>
        <v>0</v>
      </c>
      <c r="D30" s="22">
        <f>Budget!D9</f>
        <v>0</v>
      </c>
      <c r="E30" s="22">
        <f>Budget!E9</f>
        <v>0</v>
      </c>
      <c r="F30" s="23">
        <f>Budget!F9</f>
        <v>0</v>
      </c>
    </row>
    <row r="31" spans="1:13">
      <c r="A31" s="15">
        <f>Budget!A10</f>
        <v>0</v>
      </c>
      <c r="B31" s="22">
        <f>Budget!B10</f>
        <v>0</v>
      </c>
      <c r="C31" s="22">
        <f>Budget!C10</f>
        <v>0</v>
      </c>
      <c r="D31" s="22">
        <f>Budget!D10</f>
        <v>0</v>
      </c>
      <c r="E31" s="22">
        <f>Budget!E10</f>
        <v>0</v>
      </c>
      <c r="F31" s="23">
        <f>Budget!F10</f>
        <v>0</v>
      </c>
    </row>
    <row r="32" spans="1:13">
      <c r="A32" s="15">
        <f>Budget!A11</f>
        <v>0</v>
      </c>
      <c r="B32" s="22">
        <f>Budget!B11</f>
        <v>0</v>
      </c>
      <c r="C32" s="22">
        <f>Budget!C11</f>
        <v>0</v>
      </c>
      <c r="D32" s="22">
        <f>Budget!D11</f>
        <v>0</v>
      </c>
      <c r="E32" s="22">
        <f>Budget!E11</f>
        <v>0</v>
      </c>
      <c r="F32" s="23">
        <f>Budget!F11</f>
        <v>0</v>
      </c>
    </row>
    <row r="33" spans="1:6">
      <c r="A33" s="4">
        <f>Budget!A12</f>
        <v>0</v>
      </c>
      <c r="B33" s="24">
        <f>Budget!B12</f>
        <v>0</v>
      </c>
      <c r="C33" s="24">
        <f>Budget!C12</f>
        <v>0</v>
      </c>
      <c r="D33" s="24">
        <f>Budget!D12</f>
        <v>0</v>
      </c>
      <c r="E33" s="24">
        <f>Budget!E12</f>
        <v>0</v>
      </c>
      <c r="F33" s="23">
        <f>Budget!F12</f>
        <v>0</v>
      </c>
    </row>
    <row r="35" spans="1:6">
      <c r="A35" s="7" t="s">
        <v>129</v>
      </c>
    </row>
    <row r="36" spans="1:6" ht="20" customHeight="1">
      <c r="A36" s="25" t="s">
        <v>130</v>
      </c>
      <c r="B36" s="25"/>
      <c r="C36" s="25"/>
      <c r="D36" s="25"/>
      <c r="E36" s="25"/>
      <c r="F36" s="25"/>
    </row>
    <row r="37" spans="1:6" ht="20" customHeight="1">
      <c r="A37" s="25"/>
      <c r="B37" s="25"/>
      <c r="C37" s="25"/>
      <c r="D37" s="25"/>
      <c r="E37" s="25"/>
      <c r="F37" s="25"/>
    </row>
    <row r="38" spans="1:6" ht="20" customHeight="1">
      <c r="A38" s="25"/>
      <c r="B38" s="25"/>
      <c r="C38" s="25"/>
      <c r="D38" s="25"/>
      <c r="E38" s="25"/>
      <c r="F38" s="25"/>
    </row>
    <row r="40" spans="1:6">
      <c r="A40" s="7" t="s">
        <v>131</v>
      </c>
    </row>
    <row r="41" spans="1:6">
      <c r="A41" s="8" t="s">
        <v>84</v>
      </c>
      <c r="B41" s="8" t="s">
        <v>58</v>
      </c>
      <c r="C41" s="8" t="s">
        <v>85</v>
      </c>
      <c r="D41" s="8" t="s">
        <v>60</v>
      </c>
      <c r="E41" s="8" t="s">
        <v>132</v>
      </c>
    </row>
    <row r="42" spans="1:6" ht="24" customHeight="1">
      <c r="A42" s="26">
        <f>Issues!B6</f>
        <v>0</v>
      </c>
      <c r="B42" s="10">
        <f>Issues!A6</f>
        <v>0</v>
      </c>
      <c r="C42" s="10">
        <f>Issues!D6</f>
        <v>0</v>
      </c>
      <c r="D42" s="16">
        <f>Issues!C6</f>
        <v>0</v>
      </c>
      <c r="E42" s="10">
        <f>IF(Issues!C6&gt;StatusDate,"Not yet raised",IF(OR(Issues!E6="",Issues!E6&gt;StatusDate),"Open","Closed"))</f>
        <v>0</v>
      </c>
    </row>
    <row r="43" spans="1:6" ht="24" customHeight="1">
      <c r="A43" s="26">
        <f>Issues!B7</f>
        <v>0</v>
      </c>
      <c r="B43" s="10">
        <f>Issues!A7</f>
        <v>0</v>
      </c>
      <c r="C43" s="10">
        <f>Issues!D7</f>
        <v>0</v>
      </c>
      <c r="D43" s="16">
        <f>Issues!C7</f>
        <v>0</v>
      </c>
      <c r="E43" s="10">
        <f>IF(Issues!C7&gt;StatusDate,"Not yet raised",IF(OR(Issues!E7="",Issues!E7&gt;StatusDate),"Open","Closed"))</f>
        <v>0</v>
      </c>
    </row>
    <row r="44" spans="1:6" ht="24" customHeight="1">
      <c r="A44" s="26">
        <f>Issues!B8</f>
        <v>0</v>
      </c>
      <c r="B44" s="10">
        <f>Issues!A8</f>
        <v>0</v>
      </c>
      <c r="C44" s="10">
        <f>Issues!D8</f>
        <v>0</v>
      </c>
      <c r="D44" s="16">
        <f>Issues!C8</f>
        <v>0</v>
      </c>
      <c r="E44" s="10">
        <f>IF(Issues!C8&gt;StatusDate,"Not yet raised",IF(OR(Issues!E8="",Issues!E8&gt;StatusDate),"Open","Closed"))</f>
        <v>0</v>
      </c>
    </row>
    <row r="45" spans="1:6" ht="24" customHeight="1">
      <c r="A45" s="26">
        <f>Issues!B9</f>
        <v>0</v>
      </c>
      <c r="B45" s="10">
        <f>Issues!A9</f>
        <v>0</v>
      </c>
      <c r="C45" s="10">
        <f>Issues!D9</f>
        <v>0</v>
      </c>
      <c r="D45" s="16">
        <f>Issues!C9</f>
        <v>0</v>
      </c>
      <c r="E45" s="10">
        <f>IF(Issues!C9&gt;StatusDate,"Not yet raised",IF(OR(Issues!E9="",Issues!E9&gt;StatusDate),"Open","Closed"))</f>
        <v>0</v>
      </c>
    </row>
    <row r="47" spans="1:6">
      <c r="A47" s="7" t="s">
        <v>133</v>
      </c>
    </row>
    <row r="48" spans="1:6">
      <c r="A48" s="27" t="s">
        <v>134</v>
      </c>
      <c r="B48" s="27"/>
      <c r="C48" s="27"/>
      <c r="D48" s="27"/>
      <c r="E48" s="27"/>
      <c r="F48" s="27"/>
    </row>
    <row r="49" spans="1:6">
      <c r="A49" s="27" t="s">
        <v>135</v>
      </c>
      <c r="B49" s="27"/>
      <c r="C49" s="27"/>
      <c r="D49" s="27"/>
      <c r="E49" s="27"/>
      <c r="F49" s="27"/>
    </row>
    <row r="50" spans="1:6">
      <c r="A50" s="27" t="s">
        <v>136</v>
      </c>
      <c r="B50" s="27"/>
      <c r="C50" s="27"/>
      <c r="D50" s="27"/>
      <c r="E50" s="27"/>
      <c r="F50" s="27"/>
    </row>
  </sheetData>
  <mergeCells count="24">
    <mergeCell ref="A1:M1"/>
    <mergeCell ref="I4:J4"/>
    <mergeCell ref="C7:F7"/>
    <mergeCell ref="C8:F8"/>
    <mergeCell ref="C9:F9"/>
    <mergeCell ref="C10:F10"/>
    <mergeCell ref="C11:F11"/>
    <mergeCell ref="C12:F12"/>
    <mergeCell ref="H7:I7"/>
    <mergeCell ref="H8:I9"/>
    <mergeCell ref="J7:K7"/>
    <mergeCell ref="J8:K9"/>
    <mergeCell ref="L7:M7"/>
    <mergeCell ref="L8:M9"/>
    <mergeCell ref="H10:I10"/>
    <mergeCell ref="H11:I12"/>
    <mergeCell ref="J10:K10"/>
    <mergeCell ref="J11:K12"/>
    <mergeCell ref="L10:M10"/>
    <mergeCell ref="L11:M12"/>
    <mergeCell ref="A36:F38"/>
    <mergeCell ref="A48:F48"/>
    <mergeCell ref="A49:F49"/>
    <mergeCell ref="A50:F50"/>
  </mergeCells>
  <conditionalFormatting sqref="B8:B12">
    <cfRule type="cellIs" dxfId="2" priority="4" operator="equal">
      <formula>"Green"</formula>
    </cfRule>
    <cfRule type="cellIs" dxfId="0" priority="5" operator="equal">
      <formula>"Amber"</formula>
    </cfRule>
    <cfRule type="cellIs" dxfId="1" priority="6" operator="equal">
      <formula>"Red"</formula>
    </cfRule>
  </conditionalFormatting>
  <conditionalFormatting sqref="E16:E22">
    <cfRule type="cellIs" dxfId="3" priority="10" operator="equal">
      <formula>"Achieved"</formula>
    </cfRule>
  </conditionalFormatting>
  <conditionalFormatting sqref="E27:E32">
    <cfRule type="cellIs" dxfId="0" priority="11" operator="greaterThan">
      <formula>0</formula>
    </cfRule>
  </conditionalFormatting>
  <conditionalFormatting sqref="E42:E45">
    <cfRule type="cellIs" dxfId="0" priority="12" operator="equal">
      <formula>"Open"</formula>
    </cfRule>
    <cfRule type="cellIs" dxfId="2" priority="13" operator="equal">
      <formula>"Closed"</formula>
    </cfRule>
    <cfRule type="cellIs" dxfId="4" priority="14" operator="equal">
      <formula>"Not yet raised"</formula>
    </cfRule>
  </conditionalFormatting>
  <conditionalFormatting sqref="F16:F22">
    <cfRule type="cellIs" dxfId="2" priority="7" operator="equal">
      <formula>"Green"</formula>
    </cfRule>
    <cfRule type="cellIs" dxfId="0" priority="8" operator="equal">
      <formula>"Amber"</formula>
    </cfRule>
    <cfRule type="cellIs" dxfId="1" priority="9" operator="equal">
      <formula>"Red"</formula>
    </cfRule>
  </conditionalFormatting>
  <conditionalFormatting sqref="I4">
    <cfRule type="cellIs" dxfId="1" priority="1" operator="equal">
      <formula>"Red"</formula>
    </cfRule>
    <cfRule type="cellIs" dxfId="0" priority="2" operator="equal">
      <formula>"Amber"</formula>
    </cfRule>
    <cfRule type="cellIs" dxfId="2" priority="3" operator="equal">
      <formula>"Green"</formula>
    </cfRule>
  </conditionalFormatting>
  <pageMargins left="0.4" right="0.4" top="0.6" bottom="0.6" header="0.3" footer="0.3"/>
  <pageSetup paperSize="9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2"/>
  <sheetViews>
    <sheetView showGridLines="0" workbookViewId="0"/>
  </sheetViews>
  <sheetFormatPr defaultRowHeight="15"/>
  <cols>
    <col min="1" max="1" width="6.7109375" customWidth="1"/>
    <col min="2" max="2" width="42.7109375" customWidth="1"/>
    <col min="3" max="4" width="13.7109375" customWidth="1"/>
    <col min="5" max="5" width="12.7109375" customWidth="1"/>
  </cols>
  <sheetData>
    <row r="1" spans="1:5" ht="3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</row>
    <row r="3" spans="1:5">
      <c r="A3" s="3" t="s">
        <v>2</v>
      </c>
    </row>
    <row r="5" spans="1:5" ht="28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5">
      <c r="A6" s="10" t="s">
        <v>8</v>
      </c>
      <c r="B6" s="4" t="s">
        <v>9</v>
      </c>
      <c r="C6" s="16">
        <v>46092</v>
      </c>
      <c r="D6" s="16">
        <v>46092</v>
      </c>
      <c r="E6" s="17">
        <f>IF(D6&gt;=C6,NETWORKDAYS(C6,D6,Holidays)-1,-(NETWORKDAYS(D6,C6,Holidays)-1))</f>
        <v>0</v>
      </c>
    </row>
    <row r="7" spans="1:5">
      <c r="A7" s="10" t="s">
        <v>10</v>
      </c>
      <c r="B7" s="4" t="s">
        <v>11</v>
      </c>
      <c r="C7" s="16">
        <v>46105</v>
      </c>
      <c r="D7" s="16">
        <v>46105</v>
      </c>
      <c r="E7" s="17">
        <f>IF(D7&gt;=C7,NETWORKDAYS(C7,D7,Holidays)-1,-(NETWORKDAYS(D7,C7,Holidays)-1))</f>
        <v>0</v>
      </c>
    </row>
    <row r="8" spans="1:5">
      <c r="A8" s="10" t="s">
        <v>12</v>
      </c>
      <c r="B8" s="4" t="s">
        <v>13</v>
      </c>
      <c r="C8" s="16">
        <v>46119</v>
      </c>
      <c r="D8" s="16">
        <v>46119</v>
      </c>
      <c r="E8" s="17">
        <f>IF(D8&gt;=C8,NETWORKDAYS(C8,D8,Holidays)-1,-(NETWORKDAYS(D8,C8,Holidays)-1))</f>
        <v>0</v>
      </c>
    </row>
    <row r="9" spans="1:5">
      <c r="A9" s="10" t="s">
        <v>14</v>
      </c>
      <c r="B9" s="4" t="s">
        <v>15</v>
      </c>
      <c r="C9" s="16">
        <v>46154</v>
      </c>
      <c r="D9" s="16">
        <v>46154</v>
      </c>
      <c r="E9" s="17">
        <f>IF(D9&gt;=C9,NETWORKDAYS(C9,D9,Holidays)-1,-(NETWORKDAYS(D9,C9,Holidays)-1))</f>
        <v>0</v>
      </c>
    </row>
    <row r="10" spans="1:5">
      <c r="A10" s="10" t="s">
        <v>16</v>
      </c>
      <c r="B10" s="4" t="s">
        <v>17</v>
      </c>
      <c r="C10" s="16">
        <v>46160</v>
      </c>
      <c r="D10" s="16">
        <v>46164</v>
      </c>
      <c r="E10" s="17">
        <f>IF(D10&gt;=C10,NETWORKDAYS(C10,D10,Holidays)-1,-(NETWORKDAYS(D10,C10,Holidays)-1))</f>
        <v>0</v>
      </c>
    </row>
    <row r="11" spans="1:5">
      <c r="A11" s="10" t="s">
        <v>18</v>
      </c>
      <c r="B11" s="4" t="s">
        <v>19</v>
      </c>
      <c r="C11" s="16">
        <v>46162</v>
      </c>
      <c r="D11" s="16">
        <v>46169</v>
      </c>
      <c r="E11" s="17">
        <f>IF(D11&gt;=C11,NETWORKDAYS(C11,D11,Holidays)-1,-(NETWORKDAYS(D11,C11,Holidays)-1))</f>
        <v>0</v>
      </c>
    </row>
    <row r="12" spans="1:5">
      <c r="A12" s="10" t="s">
        <v>20</v>
      </c>
      <c r="B12" s="4" t="s">
        <v>21</v>
      </c>
      <c r="C12" s="16">
        <v>46183</v>
      </c>
      <c r="D12" s="16">
        <v>46189</v>
      </c>
      <c r="E12" s="17">
        <f>IF(D12&gt;=C12,NETWORKDAYS(C12,D12,Holidays)-1,-(NETWORKDAYS(D12,C12,Holidays)-1))</f>
        <v>0</v>
      </c>
    </row>
  </sheetData>
  <mergeCells count="1">
    <mergeCell ref="A1:E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showGridLines="0" workbookViewId="0"/>
  </sheetViews>
  <sheetFormatPr defaultRowHeight="15"/>
  <cols>
    <col min="1" max="1" width="38.7109375" customWidth="1"/>
    <col min="2" max="2" width="12.7109375" customWidth="1"/>
    <col min="3" max="5" width="13.7109375" customWidth="1"/>
    <col min="6" max="6" width="11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24" customHeight="1">
      <c r="A2" s="2" t="s">
        <v>29</v>
      </c>
    </row>
    <row r="3" spans="1:6">
      <c r="A3" s="3" t="s">
        <v>30</v>
      </c>
    </row>
    <row r="5" spans="1:6" ht="28" customHeight="1">
      <c r="A5" s="8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</row>
    <row r="6" spans="1:6">
      <c r="A6" s="15" t="s">
        <v>37</v>
      </c>
      <c r="B6" s="22">
        <v>6800</v>
      </c>
      <c r="C6" s="22">
        <v>6800</v>
      </c>
      <c r="D6" s="22">
        <v>6800</v>
      </c>
      <c r="E6" s="22">
        <f>D6-B6</f>
        <v>0</v>
      </c>
      <c r="F6" s="23">
        <f>IF(B6=0,0,C6/B6)</f>
        <v>0</v>
      </c>
    </row>
    <row r="7" spans="1:6">
      <c r="A7" s="15" t="s">
        <v>38</v>
      </c>
      <c r="B7" s="22">
        <v>9500</v>
      </c>
      <c r="C7" s="22">
        <v>7600</v>
      </c>
      <c r="D7" s="22">
        <v>10400</v>
      </c>
      <c r="E7" s="22">
        <f>D7-B7</f>
        <v>0</v>
      </c>
      <c r="F7" s="23">
        <f>IF(B7=0,0,C7/B7)</f>
        <v>0</v>
      </c>
    </row>
    <row r="8" spans="1:6">
      <c r="A8" s="15" t="s">
        <v>39</v>
      </c>
      <c r="B8" s="22">
        <v>4200</v>
      </c>
      <c r="C8" s="22">
        <v>4200</v>
      </c>
      <c r="D8" s="22">
        <v>4900</v>
      </c>
      <c r="E8" s="22">
        <f>D8-B8</f>
        <v>0</v>
      </c>
      <c r="F8" s="23">
        <f>IF(B8=0,0,C8/B8)</f>
        <v>0</v>
      </c>
    </row>
    <row r="9" spans="1:6">
      <c r="A9" s="15" t="s">
        <v>40</v>
      </c>
      <c r="B9" s="22">
        <v>3000</v>
      </c>
      <c r="C9" s="22">
        <v>600</v>
      </c>
      <c r="D9" s="22">
        <v>3000</v>
      </c>
      <c r="E9" s="22">
        <f>D9-B9</f>
        <v>0</v>
      </c>
      <c r="F9" s="23">
        <f>IF(B9=0,0,C9/B9)</f>
        <v>0</v>
      </c>
    </row>
    <row r="10" spans="1:6">
      <c r="A10" s="15" t="s">
        <v>41</v>
      </c>
      <c r="B10" s="22">
        <v>6000</v>
      </c>
      <c r="C10" s="22">
        <v>3900</v>
      </c>
      <c r="D10" s="22">
        <v>6300</v>
      </c>
      <c r="E10" s="22">
        <f>D10-B10</f>
        <v>0</v>
      </c>
      <c r="F10" s="23">
        <f>IF(B10=0,0,C10/B10)</f>
        <v>0</v>
      </c>
    </row>
    <row r="11" spans="1:6">
      <c r="A11" s="15" t="s">
        <v>42</v>
      </c>
      <c r="B11" s="22">
        <v>3500</v>
      </c>
      <c r="C11" s="22">
        <v>3380</v>
      </c>
      <c r="D11" s="22">
        <v>3380</v>
      </c>
      <c r="E11" s="22">
        <f>D11-B11</f>
        <v>0</v>
      </c>
      <c r="F11" s="23">
        <f>IF(B11=0,0,C11/B11)</f>
        <v>0</v>
      </c>
    </row>
    <row r="12" spans="1:6">
      <c r="A12" s="24" t="s">
        <v>43</v>
      </c>
      <c r="B12" s="24">
        <f>SUM(B6:B11)</f>
        <v>0</v>
      </c>
      <c r="C12" s="24">
        <f>SUM(C6:C11)</f>
        <v>0</v>
      </c>
      <c r="D12" s="24">
        <f>SUM(D6:D11)</f>
        <v>0</v>
      </c>
      <c r="E12" s="24">
        <f>SUM(E6:E11)</f>
        <v>0</v>
      </c>
      <c r="F12" s="23">
        <f>C12/B12</f>
        <v>0</v>
      </c>
    </row>
    <row r="13" spans="1:6">
      <c r="A13" s="15" t="s">
        <v>44</v>
      </c>
      <c r="B13" s="22">
        <v>3500</v>
      </c>
    </row>
    <row r="14" spans="1:6">
      <c r="A14" s="24" t="s">
        <v>45</v>
      </c>
      <c r="B14" s="24">
        <f>B12+B13</f>
        <v>0</v>
      </c>
    </row>
    <row r="15" spans="1:6">
      <c r="A15" s="15" t="s">
        <v>46</v>
      </c>
      <c r="B15" s="22">
        <f>B14-D12</f>
        <v>0</v>
      </c>
    </row>
  </sheetData>
  <mergeCells count="1">
    <mergeCell ref="A1:F1"/>
  </mergeCells>
  <conditionalFormatting sqref="E6:E12">
    <cfRule type="cellIs" dxfId="0" priority="1" operator="greaterThan">
      <formula>0</formula>
    </cfRule>
  </conditionalFormatting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9"/>
  <sheetViews>
    <sheetView showGridLines="0" workbookViewId="0"/>
  </sheetViews>
  <sheetFormatPr defaultRowHeight="15"/>
  <cols>
    <col min="1" max="1" width="14.7109375" customWidth="1"/>
    <col min="2" max="3" width="16.7109375" customWidth="1"/>
  </cols>
  <sheetData>
    <row r="1" spans="1:3" ht="34" customHeight="1">
      <c r="A1" s="1" t="s">
        <v>0</v>
      </c>
      <c r="B1" s="1"/>
      <c r="C1" s="1"/>
    </row>
    <row r="2" spans="1:3" ht="24" customHeight="1">
      <c r="A2" s="2" t="s">
        <v>47</v>
      </c>
    </row>
    <row r="3" spans="1:3">
      <c r="A3" s="3" t="s">
        <v>48</v>
      </c>
    </row>
    <row r="5" spans="1:3" ht="28" customHeight="1">
      <c r="A5" s="8" t="s">
        <v>49</v>
      </c>
      <c r="B5" s="8" t="s">
        <v>50</v>
      </c>
      <c r="C5" s="8" t="s">
        <v>51</v>
      </c>
    </row>
    <row r="6" spans="1:3">
      <c r="A6" s="15" t="s">
        <v>52</v>
      </c>
      <c r="B6" s="22">
        <v>2100</v>
      </c>
      <c r="C6" s="22">
        <v>2050</v>
      </c>
    </row>
    <row r="7" spans="1:3">
      <c r="A7" s="15" t="s">
        <v>53</v>
      </c>
      <c r="B7" s="22">
        <v>17400</v>
      </c>
      <c r="C7" s="22">
        <v>18350</v>
      </c>
    </row>
    <row r="8" spans="1:3">
      <c r="A8" s="15" t="s">
        <v>54</v>
      </c>
      <c r="B8" s="22">
        <v>28900</v>
      </c>
      <c r="C8" s="22">
        <v>26480</v>
      </c>
    </row>
    <row r="9" spans="1:3">
      <c r="A9" s="15" t="s">
        <v>55</v>
      </c>
      <c r="B9" s="22">
        <v>33000</v>
      </c>
      <c r="C9" s="22"/>
    </row>
  </sheetData>
  <mergeCells count="1">
    <mergeCell ref="A1:C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showGridLines="0" workbookViewId="0"/>
  </sheetViews>
  <sheetFormatPr defaultRowHeight="15"/>
  <cols>
    <col min="1" max="1" width="6.7109375" customWidth="1"/>
    <col min="2" max="2" width="40.7109375" customWidth="1"/>
    <col min="3" max="3" width="12.7109375" customWidth="1"/>
    <col min="4" max="6" width="7.7109375" customWidth="1"/>
    <col min="7" max="7" width="12.7109375" customWidth="1"/>
  </cols>
  <sheetData>
    <row r="1" spans="1:7" ht="34" customHeight="1">
      <c r="A1" s="1" t="s">
        <v>0</v>
      </c>
      <c r="B1" s="1"/>
      <c r="C1" s="1"/>
      <c r="D1" s="1"/>
      <c r="E1" s="1"/>
      <c r="F1" s="1"/>
      <c r="G1" s="1"/>
    </row>
    <row r="2" spans="1:7" ht="24" customHeight="1">
      <c r="A2" s="2" t="s">
        <v>56</v>
      </c>
    </row>
    <row r="3" spans="1:7">
      <c r="A3" s="3" t="s">
        <v>57</v>
      </c>
    </row>
    <row r="5" spans="1:7" ht="28" customHeight="1">
      <c r="A5" s="8" t="s">
        <v>58</v>
      </c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</row>
    <row r="6" spans="1:7">
      <c r="A6" s="4" t="s">
        <v>65</v>
      </c>
      <c r="B6" s="15" t="s">
        <v>66</v>
      </c>
      <c r="C6" s="16">
        <v>46090</v>
      </c>
      <c r="D6" s="10">
        <v>4</v>
      </c>
      <c r="E6" s="10">
        <v>4</v>
      </c>
      <c r="F6" s="10">
        <f>D6*E6</f>
        <v>0</v>
      </c>
      <c r="G6" s="16">
        <v>46160</v>
      </c>
    </row>
    <row r="7" spans="1:7">
      <c r="A7" s="4" t="s">
        <v>67</v>
      </c>
      <c r="B7" s="15" t="s">
        <v>68</v>
      </c>
      <c r="C7" s="16">
        <v>46090</v>
      </c>
      <c r="D7" s="10">
        <v>3</v>
      </c>
      <c r="E7" s="10">
        <v>4</v>
      </c>
      <c r="F7" s="10">
        <f>D7*E7</f>
        <v>0</v>
      </c>
      <c r="G7" s="16"/>
    </row>
    <row r="8" spans="1:7">
      <c r="A8" s="4" t="s">
        <v>69</v>
      </c>
      <c r="B8" s="15" t="s">
        <v>70</v>
      </c>
      <c r="C8" s="16">
        <v>46104</v>
      </c>
      <c r="D8" s="10">
        <v>3</v>
      </c>
      <c r="E8" s="10">
        <v>4</v>
      </c>
      <c r="F8" s="10">
        <f>D8*E8</f>
        <v>0</v>
      </c>
      <c r="G8" s="16">
        <v>46139</v>
      </c>
    </row>
    <row r="9" spans="1:7">
      <c r="A9" s="4" t="s">
        <v>71</v>
      </c>
      <c r="B9" s="15" t="s">
        <v>72</v>
      </c>
      <c r="C9" s="16">
        <v>46097</v>
      </c>
      <c r="D9" s="10">
        <v>3</v>
      </c>
      <c r="E9" s="10">
        <v>3</v>
      </c>
      <c r="F9" s="10">
        <f>D9*E9</f>
        <v>0</v>
      </c>
      <c r="G9" s="16">
        <v>46157</v>
      </c>
    </row>
    <row r="10" spans="1:7">
      <c r="A10" s="4" t="s">
        <v>73</v>
      </c>
      <c r="B10" s="15" t="s">
        <v>74</v>
      </c>
      <c r="C10" s="16">
        <v>46114</v>
      </c>
      <c r="D10" s="10">
        <v>2</v>
      </c>
      <c r="E10" s="10">
        <v>4</v>
      </c>
      <c r="F10" s="10">
        <f>D10*E10</f>
        <v>0</v>
      </c>
      <c r="G10" s="16">
        <v>46154</v>
      </c>
    </row>
    <row r="11" spans="1:7">
      <c r="A11" s="4" t="s">
        <v>75</v>
      </c>
      <c r="B11" s="15" t="s">
        <v>76</v>
      </c>
      <c r="C11" s="16">
        <v>46097</v>
      </c>
      <c r="D11" s="10">
        <v>2</v>
      </c>
      <c r="E11" s="10">
        <v>5</v>
      </c>
      <c r="F11" s="10">
        <f>D11*E11</f>
        <v>0</v>
      </c>
      <c r="G11" s="16">
        <v>46169</v>
      </c>
    </row>
    <row r="12" spans="1:7">
      <c r="A12" s="4" t="s">
        <v>77</v>
      </c>
      <c r="B12" s="15" t="s">
        <v>78</v>
      </c>
      <c r="C12" s="16">
        <v>46125</v>
      </c>
      <c r="D12" s="10">
        <v>3</v>
      </c>
      <c r="E12" s="10">
        <v>3</v>
      </c>
      <c r="F12" s="10">
        <f>D12*E12</f>
        <v>0</v>
      </c>
      <c r="G12" s="16">
        <v>46189</v>
      </c>
    </row>
    <row r="13" spans="1:7">
      <c r="A13" s="4" t="s">
        <v>79</v>
      </c>
      <c r="B13" s="15" t="s">
        <v>80</v>
      </c>
      <c r="C13" s="16">
        <v>46104</v>
      </c>
      <c r="D13" s="10">
        <v>3</v>
      </c>
      <c r="E13" s="10">
        <v>2</v>
      </c>
      <c r="F13" s="10">
        <f>D13*E13</f>
        <v>0</v>
      </c>
      <c r="G13" s="16">
        <v>46157</v>
      </c>
    </row>
    <row r="14" spans="1:7">
      <c r="A14" s="4" t="s">
        <v>81</v>
      </c>
      <c r="B14" s="15" t="s">
        <v>82</v>
      </c>
      <c r="C14" s="16">
        <v>46132</v>
      </c>
      <c r="D14" s="10">
        <v>2</v>
      </c>
      <c r="E14" s="10">
        <v>4</v>
      </c>
      <c r="F14" s="10">
        <f>D14*E14</f>
        <v>0</v>
      </c>
      <c r="G14" s="16">
        <v>46183</v>
      </c>
    </row>
  </sheetData>
  <mergeCells count="1">
    <mergeCell ref="A1:G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"/>
  <sheetViews>
    <sheetView showGridLines="0" workbookViewId="0"/>
  </sheetViews>
  <sheetFormatPr defaultRowHeight="15"/>
  <cols>
    <col min="1" max="1" width="6.7109375" customWidth="1"/>
    <col min="2" max="2" width="44.7109375" customWidth="1"/>
    <col min="3" max="3" width="12.7109375" customWidth="1"/>
    <col min="4" max="4" width="10.7109375" customWidth="1"/>
    <col min="5" max="5" width="12.7109375" customWidth="1"/>
  </cols>
  <sheetData>
    <row r="1" spans="1:5" ht="34" customHeight="1">
      <c r="A1" s="1" t="s">
        <v>0</v>
      </c>
      <c r="B1" s="1"/>
      <c r="C1" s="1"/>
      <c r="D1" s="1"/>
      <c r="E1" s="1"/>
    </row>
    <row r="2" spans="1:5" ht="24" customHeight="1">
      <c r="A2" s="2" t="s">
        <v>83</v>
      </c>
    </row>
    <row r="5" spans="1:5" ht="28" customHeight="1">
      <c r="A5" s="8" t="s">
        <v>58</v>
      </c>
      <c r="B5" s="8" t="s">
        <v>84</v>
      </c>
      <c r="C5" s="8" t="s">
        <v>60</v>
      </c>
      <c r="D5" s="8" t="s">
        <v>85</v>
      </c>
      <c r="E5" s="8" t="s">
        <v>64</v>
      </c>
    </row>
    <row r="6" spans="1:5">
      <c r="A6" s="4" t="s">
        <v>86</v>
      </c>
      <c r="B6" s="15" t="s">
        <v>87</v>
      </c>
      <c r="C6" s="16">
        <v>46133</v>
      </c>
      <c r="D6" s="10" t="s">
        <v>88</v>
      </c>
      <c r="E6" s="16">
        <v>46155</v>
      </c>
    </row>
    <row r="7" spans="1:5">
      <c r="A7" s="4" t="s">
        <v>89</v>
      </c>
      <c r="B7" s="15" t="s">
        <v>90</v>
      </c>
      <c r="C7" s="16">
        <v>46128</v>
      </c>
      <c r="D7" s="10" t="s">
        <v>91</v>
      </c>
      <c r="E7" s="16">
        <v>46139</v>
      </c>
    </row>
    <row r="8" spans="1:5">
      <c r="A8" s="4" t="s">
        <v>92</v>
      </c>
      <c r="B8" s="15" t="s">
        <v>93</v>
      </c>
      <c r="C8" s="16">
        <v>46148</v>
      </c>
      <c r="D8" s="10" t="s">
        <v>94</v>
      </c>
      <c r="E8" s="16">
        <v>46154</v>
      </c>
    </row>
    <row r="9" spans="1:5">
      <c r="A9" s="4" t="s">
        <v>95</v>
      </c>
      <c r="B9" s="15" t="s">
        <v>96</v>
      </c>
      <c r="C9" s="16">
        <v>46162</v>
      </c>
      <c r="D9" s="10" t="s">
        <v>91</v>
      </c>
      <c r="E9" s="16">
        <v>46164</v>
      </c>
    </row>
  </sheetData>
  <mergeCells count="1">
    <mergeCell ref="A1:E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0" workbookViewId="0"/>
  </sheetViews>
  <sheetFormatPr defaultRowHeight="15"/>
  <cols>
    <col min="1" max="1" width="16.7109375" customWidth="1"/>
    <col min="2" max="2" width="26.7109375" customWidth="1"/>
  </cols>
  <sheetData>
    <row r="1" spans="1:2" ht="34" customHeight="1">
      <c r="A1" s="1" t="s">
        <v>0</v>
      </c>
      <c r="B1" s="1"/>
    </row>
    <row r="2" spans="1:2" ht="24" customHeight="1">
      <c r="A2" s="2" t="s">
        <v>22</v>
      </c>
    </row>
    <row r="5" spans="1:2" ht="28" customHeight="1">
      <c r="A5" s="8" t="s">
        <v>23</v>
      </c>
      <c r="B5" s="8" t="s">
        <v>24</v>
      </c>
    </row>
    <row r="6" spans="1:2">
      <c r="A6" s="16">
        <v>46115</v>
      </c>
      <c r="B6" s="15" t="s">
        <v>25</v>
      </c>
    </row>
    <row r="7" spans="1:2">
      <c r="A7" s="16">
        <v>46118</v>
      </c>
      <c r="B7" s="15" t="s">
        <v>26</v>
      </c>
    </row>
    <row r="8" spans="1:2">
      <c r="A8" s="16">
        <v>46146</v>
      </c>
      <c r="B8" s="15" t="s">
        <v>27</v>
      </c>
    </row>
    <row r="9" spans="1:2">
      <c r="A9" s="16">
        <v>46167</v>
      </c>
      <c r="B9" s="15" t="s">
        <v>28</v>
      </c>
    </row>
  </sheetData>
  <mergeCells count="1">
    <mergeCell ref="A1:B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Dashboard</vt:lpstr>
      <vt:lpstr>Milestones</vt:lpstr>
      <vt:lpstr>Budget</vt:lpstr>
      <vt:lpstr>Spend profile</vt:lpstr>
      <vt:lpstr>Risks</vt:lpstr>
      <vt:lpstr>Issues</vt:lpstr>
      <vt:lpstr>Holidays</vt:lpstr>
      <vt:lpstr>Holidays</vt:lpstr>
      <vt:lpstr>StatusDate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Status dashboard (SIMULATED)</dc:title>
  <dc:subject>Project Compass: CRM implementation - fictional</dc:subject>
  <dc:creator>Chidera Ikenna-Obi</dc:creator>
  <dc:description>Simulated project: fictional company, created for portfolio and learning purposes</dc:description>
  <cp:lastModifiedBy>Chidera Ikenna-Obi</cp:lastModifiedBy>
  <dcterms:created xsi:type="dcterms:W3CDTF">2026-10-08T23:31:50Z</dcterms:created>
  <dcterms:modified xsi:type="dcterms:W3CDTF">2026-10-08T23:31:50Z</dcterms:modified>
</cp:coreProperties>
</file>