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2"/>
  </bookViews>
  <sheets>
    <sheet name="WBS" sheetId="1" r:id="rId1"/>
    <sheet name="Task list" sheetId="2" r:id="rId2"/>
    <sheet name="Gantt" sheetId="3" r:id="rId3"/>
    <sheet name="Milestones" sheetId="4" r:id="rId4"/>
    <sheet name="Holidays" sheetId="5" r:id="rId5"/>
  </sheets>
  <definedNames>
    <definedName name="Holidays">Holidays!$A$6:$A$9</definedName>
    <definedName name="_xlnm.Print_Titles" localSheetId="2">Gantt!$5:$5</definedName>
    <definedName name="_xlnm.Print_Titles" localSheetId="1">'Task list'!$5:$5</definedName>
    <definedName name="_xlnm.Print_Titles" localSheetId="0">WBS!$5:$5</definedName>
  </definedNames>
  <calcPr calcId="124519" fullCalcOnLoad="1"/>
</workbook>
</file>

<file path=xl/sharedStrings.xml><?xml version="1.0" encoding="utf-8"?>
<sst xmlns="http://schemas.openxmlformats.org/spreadsheetml/2006/main" count="381" uniqueCount="199">
  <si>
    <t>⚠  SIMULATED PROJECT: FICTIONAL COMPANY, CREATED FOR PORTFOLIO AND LEARNING PURPOSES  ·  Cobbleway Home Services Ltd is not a real business</t>
  </si>
  <si>
    <t>UK bank holidays in the project window</t>
  </si>
  <si>
    <t>Used by NETWORKDAYS formulas.</t>
  </si>
  <si>
    <t>Date</t>
  </si>
  <si>
    <t>Holiday</t>
  </si>
  <si>
    <t>Good Friday</t>
  </si>
  <si>
    <t>Easter Monday</t>
  </si>
  <si>
    <t>Early May bank holiday</t>
  </si>
  <si>
    <t>Spring bank holiday</t>
  </si>
  <si>
    <t>Work breakdown structure</t>
  </si>
  <si>
    <t>Deliverable-based: 8 phases, 30 work packages and milestones.</t>
  </si>
  <si>
    <t>WBS</t>
  </si>
  <si>
    <t>Element</t>
  </si>
  <si>
    <t>Deliverable</t>
  </si>
  <si>
    <t>Owner</t>
  </si>
  <si>
    <t>Effort (person-days)</t>
  </si>
  <si>
    <t>1</t>
  </si>
  <si>
    <t>INITIATION</t>
  </si>
  <si>
    <t>Approved business case, charter and stakeholder register</t>
  </si>
  <si>
    <t>Chidera Ikenna-Obi</t>
  </si>
  <si>
    <t>1.1</t>
  </si>
  <si>
    <t xml:space="preserve">     Business case and options appraisal</t>
  </si>
  <si>
    <t>1.2</t>
  </si>
  <si>
    <t xml:space="preserve">     Project charter</t>
  </si>
  <si>
    <t>1.3</t>
  </si>
  <si>
    <t xml:space="preserve">     Stakeholder analysis and register</t>
  </si>
  <si>
    <t>1.4</t>
  </si>
  <si>
    <t xml:space="preserve">     ◆ M1 Charter and business case approved</t>
  </si>
  <si>
    <t>Milestone</t>
  </si>
  <si>
    <t>Helen Marsh</t>
  </si>
  <si>
    <t>2</t>
  </si>
  <si>
    <t>REQUIREMENTS AND SUPPLIER SELECTION</t>
  </si>
  <si>
    <t>Signed-off MoSCoW requirements; supplier contract</t>
  </si>
  <si>
    <t>2.1</t>
  </si>
  <si>
    <t xml:space="preserve">     Current-process mapping workshops</t>
  </si>
  <si>
    <t>2.2</t>
  </si>
  <si>
    <t xml:space="preserve">     Requirements catalogue (MoSCoW)</t>
  </si>
  <si>
    <t>2.3</t>
  </si>
  <si>
    <t xml:space="preserve">     ◆ M2 Requirements signed off</t>
  </si>
  <si>
    <t>Dave Pearson</t>
  </si>
  <si>
    <t>2.4</t>
  </si>
  <si>
    <t xml:space="preserve">     Supplier shortlist, demos and scoring</t>
  </si>
  <si>
    <t>2.5</t>
  </si>
  <si>
    <t xml:space="preserve">     ◆ M3 Supplier selected and contract signed</t>
  </si>
  <si>
    <t>3</t>
  </si>
  <si>
    <t>DESIGN AND CONFIGURATION</t>
  </si>
  <si>
    <t>Configured CRM with integrations and mobile app</t>
  </si>
  <si>
    <t>Sam Carter</t>
  </si>
  <si>
    <t>3.1</t>
  </si>
  <si>
    <t xml:space="preserve">     Solution design and data model</t>
  </si>
  <si>
    <t>3.2</t>
  </si>
  <si>
    <t xml:space="preserve">     Configure enquiries, quotes and pipeline</t>
  </si>
  <si>
    <t>3.3</t>
  </si>
  <si>
    <t xml:space="preserve">     Configure jobs, scheduling and service reminders</t>
  </si>
  <si>
    <t>3.4</t>
  </si>
  <si>
    <t xml:space="preserve">     Accounting and email integration</t>
  </si>
  <si>
    <t>3.5</t>
  </si>
  <si>
    <t xml:space="preserve">     Field mobile app set-up and tablets</t>
  </si>
  <si>
    <t>Ben Ward</t>
  </si>
  <si>
    <t>3.6</t>
  </si>
  <si>
    <t xml:space="preserve">     ◆ M4 Configuration complete</t>
  </si>
  <si>
    <t>4</t>
  </si>
  <si>
    <t>DATA MIGRATION</t>
  </si>
  <si>
    <t>Cleansed, reconciled customer data</t>
  </si>
  <si>
    <t>Priya Shah</t>
  </si>
  <si>
    <t>4.1</t>
  </si>
  <si>
    <t xml:space="preserve">     Data audit and cleansing</t>
  </si>
  <si>
    <t>4.2</t>
  </si>
  <si>
    <t xml:space="preserve">     Trial migration and reconciliation</t>
  </si>
  <si>
    <t>5</t>
  </si>
  <si>
    <t>TESTING</t>
  </si>
  <si>
    <t>UAT results and go/no-go decision</t>
  </si>
  <si>
    <t>5.1</t>
  </si>
  <si>
    <t xml:space="preserve">     UAT scripts and test data</t>
  </si>
  <si>
    <t>5.2</t>
  </si>
  <si>
    <t xml:space="preserve">     User acceptance testing</t>
  </si>
  <si>
    <t>5.3</t>
  </si>
  <si>
    <t xml:space="preserve">     ◆ M5 Go/no-go decision</t>
  </si>
  <si>
    <t>6</t>
  </si>
  <si>
    <t>TRAINING AND CHANGE</t>
  </si>
  <si>
    <t>Trained users, champions network, guides</t>
  </si>
  <si>
    <t>6.1</t>
  </si>
  <si>
    <t xml:space="preserve">     Change impact assessment and champions network</t>
  </si>
  <si>
    <t>6.2</t>
  </si>
  <si>
    <t xml:space="preserve">     Training materials and quick-reference guides</t>
  </si>
  <si>
    <t>6.3</t>
  </si>
  <si>
    <t xml:space="preserve">     Office team training</t>
  </si>
  <si>
    <t>6.4</t>
  </si>
  <si>
    <t xml:space="preserve">     Field engineer training (two sessions)</t>
  </si>
  <si>
    <t>Gary Hodgson</t>
  </si>
  <si>
    <t>7</t>
  </si>
  <si>
    <t>DEPLOYMENT</t>
  </si>
  <si>
    <t>Live CRM and hypercare support</t>
  </si>
  <si>
    <t>7.1</t>
  </si>
  <si>
    <t xml:space="preserve">     Final data migration and cut-over</t>
  </si>
  <si>
    <t>7.2</t>
  </si>
  <si>
    <t xml:space="preserve">     ◆ M6 Go-live</t>
  </si>
  <si>
    <t>7.3</t>
  </si>
  <si>
    <t xml:space="preserve">     Hypercare support</t>
  </si>
  <si>
    <t>8</t>
  </si>
  <si>
    <t>CLOSURE</t>
  </si>
  <si>
    <t>Lessons learned, closure report, BAU handover</t>
  </si>
  <si>
    <t>8.1</t>
  </si>
  <si>
    <t xml:space="preserve">     Lessons learned workshop</t>
  </si>
  <si>
    <t>8.2</t>
  </si>
  <si>
    <t xml:space="preserve">     Closure report and handover to business as usual</t>
  </si>
  <si>
    <t>8.3</t>
  </si>
  <si>
    <t xml:space="preserve">     ◆ M7 Project closed</t>
  </si>
  <si>
    <t>Total planned effort</t>
  </si>
  <si>
    <t>Task list: durations, dependencies, baseline and actual dates</t>
  </si>
  <si>
    <t>Durations in working days (Mon to Fri, excluding UK bank holidays). Baseline approved at M1. Actuals final at closure (16 Jun 2026).</t>
  </si>
  <si>
    <t>ID</t>
  </si>
  <si>
    <t>Task</t>
  </si>
  <si>
    <t>Effort (pd)</t>
  </si>
  <si>
    <t>Baseline dur (d)</t>
  </si>
  <si>
    <t>Baseline start</t>
  </si>
  <si>
    <t>Baseline finish</t>
  </si>
  <si>
    <t>Predecessors</t>
  </si>
  <si>
    <t>Actual start</t>
  </si>
  <si>
    <t>Actual finish</t>
  </si>
  <si>
    <t>Actual dur (d)</t>
  </si>
  <si>
    <t>Finish variance (d)</t>
  </si>
  <si>
    <t>Initiation</t>
  </si>
  <si>
    <t xml:space="preserve">   Business case and options appraisal</t>
  </si>
  <si>
    <t xml:space="preserve">   Project charter</t>
  </si>
  <si>
    <t xml:space="preserve">   Stakeholder analysis and register</t>
  </si>
  <si>
    <t xml:space="preserve">   M1 Charter and business case approved</t>
  </si>
  <si>
    <t>3, 4</t>
  </si>
  <si>
    <t>Yes</t>
  </si>
  <si>
    <t>Requirements and supplier selection</t>
  </si>
  <si>
    <t xml:space="preserve">   Current-process mapping workshops</t>
  </si>
  <si>
    <t xml:space="preserve">   Requirements catalogue (MoSCoW)</t>
  </si>
  <si>
    <t xml:space="preserve">   M2 Requirements signed off</t>
  </si>
  <si>
    <t xml:space="preserve">   Supplier shortlist, demos and scoring</t>
  </si>
  <si>
    <t>9</t>
  </si>
  <si>
    <t xml:space="preserve">   M3 Supplier selected and contract signed</t>
  </si>
  <si>
    <t>10</t>
  </si>
  <si>
    <t>Design and configuration</t>
  </si>
  <si>
    <t xml:space="preserve">   Solution design and data model</t>
  </si>
  <si>
    <t>11</t>
  </si>
  <si>
    <t xml:space="preserve">   Configure enquiries, quotes and pipeline</t>
  </si>
  <si>
    <t>13</t>
  </si>
  <si>
    <t xml:space="preserve">   Configure jobs, scheduling and service reminders</t>
  </si>
  <si>
    <t>14</t>
  </si>
  <si>
    <t xml:space="preserve">   Accounting and email integration</t>
  </si>
  <si>
    <t xml:space="preserve">   Field mobile app set-up and tablets</t>
  </si>
  <si>
    <t>15</t>
  </si>
  <si>
    <t xml:space="preserve">   M4 Configuration complete</t>
  </si>
  <si>
    <t>16, 17</t>
  </si>
  <si>
    <t>Data migration</t>
  </si>
  <si>
    <t xml:space="preserve">   Data audit and cleansing</t>
  </si>
  <si>
    <t xml:space="preserve">   Trial migration and reconciliation</t>
  </si>
  <si>
    <t>20, 15</t>
  </si>
  <si>
    <t>Testing</t>
  </si>
  <si>
    <t xml:space="preserve">   UAT scripts and test data</t>
  </si>
  <si>
    <t xml:space="preserve">   User acceptance testing</t>
  </si>
  <si>
    <t>18, 21, 23</t>
  </si>
  <si>
    <t xml:space="preserve">   M5 Go/no-go decision</t>
  </si>
  <si>
    <t>24, 29, 30</t>
  </si>
  <si>
    <t>Training and change</t>
  </si>
  <si>
    <t xml:space="preserve">   Change impact assessment and champions network</t>
  </si>
  <si>
    <t xml:space="preserve">   Training materials and quick-reference guides</t>
  </si>
  <si>
    <t xml:space="preserve">   Office team training</t>
  </si>
  <si>
    <t>28</t>
  </si>
  <si>
    <t xml:space="preserve">   Field engineer training (two sessions)</t>
  </si>
  <si>
    <t>Deployment</t>
  </si>
  <si>
    <t xml:space="preserve">   Final data migration and cut-over</t>
  </si>
  <si>
    <t>25</t>
  </si>
  <si>
    <t xml:space="preserve">   M6 Go-live</t>
  </si>
  <si>
    <t>32</t>
  </si>
  <si>
    <t xml:space="preserve">   Hypercare support</t>
  </si>
  <si>
    <t>33</t>
  </si>
  <si>
    <t>Closure</t>
  </si>
  <si>
    <t xml:space="preserve">   Lessons learned workshop</t>
  </si>
  <si>
    <t>34</t>
  </si>
  <si>
    <t xml:space="preserve">   Closure report and handover to business as usual</t>
  </si>
  <si>
    <t>36</t>
  </si>
  <si>
    <t xml:space="preserve">   M7 Project closed</t>
  </si>
  <si>
    <t>37</t>
  </si>
  <si>
    <t>Total planned effort (person-days)</t>
  </si>
  <si>
    <t>Note: finish variance &gt; 5 working days breaches the 1-week time tolerance set in the charter.</t>
  </si>
  <si>
    <t>Gantt view (weekly)</t>
  </si>
  <si>
    <t>Teal = actual; grey = baseline not achieved (shows slip); ◆ = milestone (actual); ◇ = baseline milestone. Driven by formulas from the Task list.</t>
  </si>
  <si>
    <t>Var</t>
  </si>
  <si>
    <t>Dashboard status date (week 10)</t>
  </si>
  <si>
    <t>▲</t>
  </si>
  <si>
    <t>Baseline go-live Wed 20 May; actual go-live Wed 27 May (+4 working days, within tolerance).</t>
  </si>
  <si>
    <t>Milestone plan</t>
  </si>
  <si>
    <t>Approver</t>
  </si>
  <si>
    <t>Baseline</t>
  </si>
  <si>
    <t>Actual</t>
  </si>
  <si>
    <t>Variance (wd)</t>
  </si>
  <si>
    <t>M1 Charter and business case approved</t>
  </si>
  <si>
    <t>M2 Requirements signed off</t>
  </si>
  <si>
    <t>M3 Supplier selected and contract signed</t>
  </si>
  <si>
    <t>M4 Configuration complete</t>
  </si>
  <si>
    <t>M5 Go/no-go decision</t>
  </si>
  <si>
    <t>M6 Go-live</t>
  </si>
  <si>
    <t>M7 Project closed</t>
  </si>
</sst>
</file>

<file path=xl/styles.xml><?xml version="1.0" encoding="utf-8"?>
<styleSheet xmlns="http://schemas.openxmlformats.org/spreadsheetml/2006/main">
  <numFmts count="3">
    <numFmt numFmtId="164" formatCode="0.0"/>
    <numFmt numFmtId="165" formatCode="dd mmm yyyy"/>
    <numFmt numFmtId="166" formatCode="dd mmm"/>
  </numFmts>
  <fonts count="10">
    <font>
      <sz val="11"/>
      <color theme="1"/>
      <name val="Calibri"/>
      <family val="2"/>
      <scheme val="minor"/>
    </font>
    <font>
      <b/>
      <sz val="10"/>
      <color rgb="FF7C4A03"/>
      <name val="Calibri"/>
      <family val="2"/>
      <scheme val="minor"/>
    </font>
    <font>
      <b/>
      <sz val="15"/>
      <color rgb="FF0F1D3A"/>
      <name val="Calibri"/>
      <family val="2"/>
      <scheme val="minor"/>
    </font>
    <font>
      <i/>
      <sz val="10"/>
      <color rgb="FF5C677D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b/>
      <sz val="10"/>
      <color rgb="FFB7791F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DF0D8"/>
        <bgColor indexed="64"/>
      </patternFill>
    </fill>
    <fill>
      <patternFill patternType="solid">
        <fgColor rgb="FF0F1D3A"/>
        <bgColor indexed="64"/>
      </patternFill>
    </fill>
    <fill>
      <patternFill patternType="solid">
        <fgColor rgb="FFEEF1F6"/>
        <bgColor indexed="64"/>
      </patternFill>
    </fill>
  </fills>
  <borders count="4">
    <border>
      <left/>
      <right/>
      <top/>
      <bottom/>
      <diagonal/>
    </border>
    <border>
      <left style="thin">
        <color rgb="FFE0B060"/>
      </left>
      <right style="thin">
        <color rgb="FFE0B060"/>
      </right>
      <top style="thin">
        <color rgb="FFE0B060"/>
      </top>
      <bottom style="thin">
        <color rgb="FFE0B060"/>
      </bottom>
      <diagonal/>
    </border>
    <border>
      <left style="thin">
        <color rgb="FFC9D1DE"/>
      </left>
      <right style="thin">
        <color rgb="FFC9D1DE"/>
      </right>
      <top style="thin">
        <color rgb="FFC9D1DE"/>
      </top>
      <bottom style="thin">
        <color rgb="FFC9D1DE"/>
      </bottom>
      <diagonal/>
    </border>
    <border>
      <left style="thin">
        <color rgb="FFE3E8EF"/>
      </left>
      <right style="thin">
        <color rgb="FFE3E8EF"/>
      </right>
      <top style="thin">
        <color rgb="FFE3E8EF"/>
      </top>
      <bottom style="thin">
        <color rgb="FFE3E8E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4" fillId="3" borderId="2" xfId="0" applyFont="1" applyFill="1" applyBorder="1" applyAlignment="1">
      <alignment vertical="center" wrapText="1"/>
    </xf>
    <xf numFmtId="0" fontId="5" fillId="4" borderId="2" xfId="0" applyFont="1" applyFill="1" applyBorder="1" applyAlignment="1">
      <alignment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2" xfId="0" applyFont="1" applyBorder="1" applyAlignment="1">
      <alignment vertical="top" wrapText="1"/>
    </xf>
    <xf numFmtId="164" fontId="6" fillId="0" borderId="2" xfId="0" applyNumberFormat="1" applyFont="1" applyBorder="1" applyAlignment="1">
      <alignment horizontal="center" vertical="top"/>
    </xf>
    <xf numFmtId="0" fontId="5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horizontal="center" vertical="top"/>
    </xf>
    <xf numFmtId="164" fontId="5" fillId="4" borderId="2" xfId="0" applyNumberFormat="1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 vertical="top"/>
    </xf>
    <xf numFmtId="165" fontId="6" fillId="0" borderId="2" xfId="0" applyNumberFormat="1" applyFont="1" applyBorder="1" applyAlignment="1">
      <alignment horizontal="center" vertical="top"/>
    </xf>
    <xf numFmtId="0" fontId="3" fillId="0" borderId="0" xfId="0" applyFont="1" applyAlignment="1">
      <alignment vertical="top" wrapText="1"/>
    </xf>
    <xf numFmtId="166" fontId="7" fillId="3" borderId="2" xfId="0" applyNumberFormat="1" applyFont="1" applyFill="1" applyBorder="1" applyAlignment="1">
      <alignment horizontal="center" vertical="top" textRotation="90"/>
    </xf>
    <xf numFmtId="0" fontId="8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1" fontId="6" fillId="0" borderId="2" xfId="0" applyNumberFormat="1" applyFont="1" applyBorder="1" applyAlignment="1">
      <alignment horizontal="center" vertical="top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7C4A03"/>
      </font>
      <fill>
        <patternFill>
          <bgColor rgb="FFFFEB9C"/>
        </patternFill>
      </fill>
    </dxf>
    <dxf>
      <font>
        <color rgb="FFFFFFFF"/>
      </font>
      <fill>
        <patternFill>
          <bgColor rgb="FF0F1D3A"/>
        </patternFill>
      </fill>
    </dxf>
    <dxf>
      <font>
        <color rgb="FFFFFFFF"/>
      </font>
      <fill>
        <patternFill>
          <bgColor rgb="FF0B6E69"/>
        </patternFill>
      </fill>
    </dxf>
    <dxf>
      <fill>
        <patternFill>
          <bgColor rgb="FFC9D1D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44"/>
  <sheetViews>
    <sheetView showGridLines="0" workbookViewId="0"/>
  </sheetViews>
  <sheetFormatPr defaultRowHeight="15"/>
  <cols>
    <col min="1" max="1" width="7.7109375" customWidth="1"/>
    <col min="2" max="2" width="48.7109375" customWidth="1"/>
    <col min="3" max="3" width="44.7109375" customWidth="1"/>
    <col min="4" max="4" width="20.7109375" customWidth="1"/>
    <col min="5" max="5" width="10.7109375" customWidth="1"/>
  </cols>
  <sheetData>
    <row r="1" spans="1:5" ht="34" customHeight="1">
      <c r="A1" s="1" t="s">
        <v>0</v>
      </c>
      <c r="B1" s="1"/>
      <c r="C1" s="1"/>
      <c r="D1" s="1"/>
      <c r="E1" s="1"/>
    </row>
    <row r="2" spans="1:5" ht="24" customHeight="1">
      <c r="A2" s="2" t="s">
        <v>9</v>
      </c>
    </row>
    <row r="3" spans="1:5">
      <c r="A3" s="3" t="s">
        <v>10</v>
      </c>
    </row>
    <row r="5" spans="1:5" ht="28" customHeight="1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</row>
    <row r="6" spans="1:5" s="5" customFormat="1">
      <c r="A6" s="5" t="s">
        <v>16</v>
      </c>
      <c r="B6" s="5" t="s">
        <v>17</v>
      </c>
      <c r="C6" s="5" t="s">
        <v>18</v>
      </c>
      <c r="D6" s="5" t="s">
        <v>19</v>
      </c>
      <c r="E6" s="5"/>
    </row>
    <row r="7" spans="1:5">
      <c r="A7" s="6" t="s">
        <v>20</v>
      </c>
      <c r="B7" s="7" t="s">
        <v>21</v>
      </c>
      <c r="C7" s="7"/>
      <c r="D7" s="7" t="s">
        <v>19</v>
      </c>
      <c r="E7" s="8">
        <v>4</v>
      </c>
    </row>
    <row r="8" spans="1:5">
      <c r="A8" s="6" t="s">
        <v>22</v>
      </c>
      <c r="B8" s="7" t="s">
        <v>23</v>
      </c>
      <c r="C8" s="7"/>
      <c r="D8" s="7" t="s">
        <v>19</v>
      </c>
      <c r="E8" s="8">
        <v>2</v>
      </c>
    </row>
    <row r="9" spans="1:5">
      <c r="A9" s="6" t="s">
        <v>24</v>
      </c>
      <c r="B9" s="7" t="s">
        <v>25</v>
      </c>
      <c r="C9" s="7"/>
      <c r="D9" s="7" t="s">
        <v>19</v>
      </c>
      <c r="E9" s="8">
        <v>1.5</v>
      </c>
    </row>
    <row r="10" spans="1:5">
      <c r="A10" s="6" t="s">
        <v>26</v>
      </c>
      <c r="B10" s="7" t="s">
        <v>27</v>
      </c>
      <c r="C10" s="7" t="s">
        <v>28</v>
      </c>
      <c r="D10" s="7" t="s">
        <v>29</v>
      </c>
      <c r="E10" s="8"/>
    </row>
    <row r="11" spans="1:5" s="5" customFormat="1">
      <c r="A11" s="5" t="s">
        <v>30</v>
      </c>
      <c r="B11" s="5" t="s">
        <v>31</v>
      </c>
      <c r="C11" s="5" t="s">
        <v>32</v>
      </c>
      <c r="D11" s="5" t="s">
        <v>19</v>
      </c>
      <c r="E11" s="5"/>
    </row>
    <row r="12" spans="1:5">
      <c r="A12" s="6" t="s">
        <v>33</v>
      </c>
      <c r="B12" s="7" t="s">
        <v>34</v>
      </c>
      <c r="C12" s="7"/>
      <c r="D12" s="7" t="s">
        <v>19</v>
      </c>
      <c r="E12" s="8">
        <v>6</v>
      </c>
    </row>
    <row r="13" spans="1:5">
      <c r="A13" s="6" t="s">
        <v>35</v>
      </c>
      <c r="B13" s="7" t="s">
        <v>36</v>
      </c>
      <c r="C13" s="7"/>
      <c r="D13" s="7" t="s">
        <v>19</v>
      </c>
      <c r="E13" s="8">
        <v>4</v>
      </c>
    </row>
    <row r="14" spans="1:5">
      <c r="A14" s="6" t="s">
        <v>37</v>
      </c>
      <c r="B14" s="7" t="s">
        <v>38</v>
      </c>
      <c r="C14" s="7" t="s">
        <v>28</v>
      </c>
      <c r="D14" s="7" t="s">
        <v>39</v>
      </c>
      <c r="E14" s="8"/>
    </row>
    <row r="15" spans="1:5">
      <c r="A15" s="6" t="s">
        <v>40</v>
      </c>
      <c r="B15" s="7" t="s">
        <v>41</v>
      </c>
      <c r="C15" s="7"/>
      <c r="D15" s="7" t="s">
        <v>19</v>
      </c>
      <c r="E15" s="8">
        <v>6</v>
      </c>
    </row>
    <row r="16" spans="1:5">
      <c r="A16" s="6" t="s">
        <v>42</v>
      </c>
      <c r="B16" s="7" t="s">
        <v>43</v>
      </c>
      <c r="C16" s="7" t="s">
        <v>28</v>
      </c>
      <c r="D16" s="7" t="s">
        <v>29</v>
      </c>
      <c r="E16" s="8"/>
    </row>
    <row r="17" spans="1:5" s="5" customFormat="1">
      <c r="A17" s="5" t="s">
        <v>44</v>
      </c>
      <c r="B17" s="5" t="s">
        <v>45</v>
      </c>
      <c r="C17" s="5" t="s">
        <v>46</v>
      </c>
      <c r="D17" s="5" t="s">
        <v>47</v>
      </c>
      <c r="E17" s="5"/>
    </row>
    <row r="18" spans="1:5">
      <c r="A18" s="6" t="s">
        <v>48</v>
      </c>
      <c r="B18" s="7" t="s">
        <v>49</v>
      </c>
      <c r="C18" s="7"/>
      <c r="D18" s="7" t="s">
        <v>47</v>
      </c>
      <c r="E18" s="8">
        <v>5</v>
      </c>
    </row>
    <row r="19" spans="1:5">
      <c r="A19" s="6" t="s">
        <v>50</v>
      </c>
      <c r="B19" s="7" t="s">
        <v>51</v>
      </c>
      <c r="C19" s="7"/>
      <c r="D19" s="7" t="s">
        <v>47</v>
      </c>
      <c r="E19" s="8">
        <v>9</v>
      </c>
    </row>
    <row r="20" spans="1:5">
      <c r="A20" s="6" t="s">
        <v>52</v>
      </c>
      <c r="B20" s="7" t="s">
        <v>53</v>
      </c>
      <c r="C20" s="7"/>
      <c r="D20" s="7" t="s">
        <v>47</v>
      </c>
      <c r="E20" s="8">
        <v>6</v>
      </c>
    </row>
    <row r="21" spans="1:5">
      <c r="A21" s="6" t="s">
        <v>54</v>
      </c>
      <c r="B21" s="7" t="s">
        <v>55</v>
      </c>
      <c r="C21" s="7"/>
      <c r="D21" s="7" t="s">
        <v>47</v>
      </c>
      <c r="E21" s="8">
        <v>7</v>
      </c>
    </row>
    <row r="22" spans="1:5">
      <c r="A22" s="6" t="s">
        <v>56</v>
      </c>
      <c r="B22" s="7" t="s">
        <v>57</v>
      </c>
      <c r="C22" s="7"/>
      <c r="D22" s="7" t="s">
        <v>58</v>
      </c>
      <c r="E22" s="8">
        <v>3</v>
      </c>
    </row>
    <row r="23" spans="1:5">
      <c r="A23" s="6" t="s">
        <v>59</v>
      </c>
      <c r="B23" s="7" t="s">
        <v>60</v>
      </c>
      <c r="C23" s="7" t="s">
        <v>28</v>
      </c>
      <c r="D23" s="7" t="s">
        <v>47</v>
      </c>
      <c r="E23" s="8"/>
    </row>
    <row r="24" spans="1:5" s="5" customFormat="1">
      <c r="A24" s="5" t="s">
        <v>61</v>
      </c>
      <c r="B24" s="5" t="s">
        <v>62</v>
      </c>
      <c r="C24" s="5" t="s">
        <v>63</v>
      </c>
      <c r="D24" s="5" t="s">
        <v>64</v>
      </c>
      <c r="E24" s="5"/>
    </row>
    <row r="25" spans="1:5">
      <c r="A25" s="6" t="s">
        <v>65</v>
      </c>
      <c r="B25" s="7" t="s">
        <v>66</v>
      </c>
      <c r="C25" s="7"/>
      <c r="D25" s="7" t="s">
        <v>64</v>
      </c>
      <c r="E25" s="8">
        <v>10</v>
      </c>
    </row>
    <row r="26" spans="1:5">
      <c r="A26" s="6" t="s">
        <v>67</v>
      </c>
      <c r="B26" s="7" t="s">
        <v>68</v>
      </c>
      <c r="C26" s="7"/>
      <c r="D26" s="7" t="s">
        <v>47</v>
      </c>
      <c r="E26" s="8">
        <v>3</v>
      </c>
    </row>
    <row r="27" spans="1:5" s="5" customFormat="1">
      <c r="A27" s="5" t="s">
        <v>69</v>
      </c>
      <c r="B27" s="5" t="s">
        <v>70</v>
      </c>
      <c r="C27" s="5" t="s">
        <v>71</v>
      </c>
      <c r="D27" s="5" t="s">
        <v>39</v>
      </c>
      <c r="E27" s="5"/>
    </row>
    <row r="28" spans="1:5">
      <c r="A28" s="6" t="s">
        <v>72</v>
      </c>
      <c r="B28" s="7" t="s">
        <v>73</v>
      </c>
      <c r="C28" s="7"/>
      <c r="D28" s="7" t="s">
        <v>19</v>
      </c>
      <c r="E28" s="8">
        <v>2.5</v>
      </c>
    </row>
    <row r="29" spans="1:5">
      <c r="A29" s="6" t="s">
        <v>74</v>
      </c>
      <c r="B29" s="7" t="s">
        <v>75</v>
      </c>
      <c r="C29" s="7"/>
      <c r="D29" s="7" t="s">
        <v>39</v>
      </c>
      <c r="E29" s="8">
        <v>8</v>
      </c>
    </row>
    <row r="30" spans="1:5">
      <c r="A30" s="6" t="s">
        <v>76</v>
      </c>
      <c r="B30" s="7" t="s">
        <v>77</v>
      </c>
      <c r="C30" s="7" t="s">
        <v>28</v>
      </c>
      <c r="D30" s="7" t="s">
        <v>29</v>
      </c>
      <c r="E30" s="8"/>
    </row>
    <row r="31" spans="1:5" s="5" customFormat="1">
      <c r="A31" s="5" t="s">
        <v>78</v>
      </c>
      <c r="B31" s="5" t="s">
        <v>79</v>
      </c>
      <c r="C31" s="5" t="s">
        <v>80</v>
      </c>
      <c r="D31" s="5" t="s">
        <v>64</v>
      </c>
      <c r="E31" s="5"/>
    </row>
    <row r="32" spans="1:5">
      <c r="A32" s="6" t="s">
        <v>81</v>
      </c>
      <c r="B32" s="7" t="s">
        <v>82</v>
      </c>
      <c r="C32" s="7"/>
      <c r="D32" s="7" t="s">
        <v>19</v>
      </c>
      <c r="E32" s="8">
        <v>2.5</v>
      </c>
    </row>
    <row r="33" spans="1:5">
      <c r="A33" s="6" t="s">
        <v>83</v>
      </c>
      <c r="B33" s="7" t="s">
        <v>84</v>
      </c>
      <c r="C33" s="7"/>
      <c r="D33" s="7" t="s">
        <v>64</v>
      </c>
      <c r="E33" s="8">
        <v>4</v>
      </c>
    </row>
    <row r="34" spans="1:5">
      <c r="A34" s="6" t="s">
        <v>85</v>
      </c>
      <c r="B34" s="7" t="s">
        <v>86</v>
      </c>
      <c r="C34" s="7"/>
      <c r="D34" s="7" t="s">
        <v>64</v>
      </c>
      <c r="E34" s="8">
        <v>6</v>
      </c>
    </row>
    <row r="35" spans="1:5">
      <c r="A35" s="6" t="s">
        <v>87</v>
      </c>
      <c r="B35" s="7" t="s">
        <v>88</v>
      </c>
      <c r="C35" s="7"/>
      <c r="D35" s="7" t="s">
        <v>89</v>
      </c>
      <c r="E35" s="8">
        <v>8</v>
      </c>
    </row>
    <row r="36" spans="1:5" s="5" customFormat="1">
      <c r="A36" s="5" t="s">
        <v>90</v>
      </c>
      <c r="B36" s="5" t="s">
        <v>91</v>
      </c>
      <c r="C36" s="5" t="s">
        <v>92</v>
      </c>
      <c r="D36" s="5" t="s">
        <v>19</v>
      </c>
      <c r="E36" s="5"/>
    </row>
    <row r="37" spans="1:5">
      <c r="A37" s="6" t="s">
        <v>93</v>
      </c>
      <c r="B37" s="7" t="s">
        <v>94</v>
      </c>
      <c r="C37" s="7"/>
      <c r="D37" s="7" t="s">
        <v>47</v>
      </c>
      <c r="E37" s="8">
        <v>3</v>
      </c>
    </row>
    <row r="38" spans="1:5">
      <c r="A38" s="6" t="s">
        <v>95</v>
      </c>
      <c r="B38" s="7" t="s">
        <v>96</v>
      </c>
      <c r="C38" s="7" t="s">
        <v>28</v>
      </c>
      <c r="D38" s="7" t="s">
        <v>29</v>
      </c>
      <c r="E38" s="8"/>
    </row>
    <row r="39" spans="1:5">
      <c r="A39" s="6" t="s">
        <v>97</v>
      </c>
      <c r="B39" s="7" t="s">
        <v>98</v>
      </c>
      <c r="C39" s="7"/>
      <c r="D39" s="7" t="s">
        <v>64</v>
      </c>
      <c r="E39" s="8">
        <v>6</v>
      </c>
    </row>
    <row r="40" spans="1:5" s="5" customFormat="1">
      <c r="A40" s="5" t="s">
        <v>99</v>
      </c>
      <c r="B40" s="5" t="s">
        <v>100</v>
      </c>
      <c r="C40" s="5" t="s">
        <v>101</v>
      </c>
      <c r="D40" s="5" t="s">
        <v>19</v>
      </c>
      <c r="E40" s="5"/>
    </row>
    <row r="41" spans="1:5">
      <c r="A41" s="6" t="s">
        <v>102</v>
      </c>
      <c r="B41" s="7" t="s">
        <v>103</v>
      </c>
      <c r="C41" s="7"/>
      <c r="D41" s="7" t="s">
        <v>19</v>
      </c>
      <c r="E41" s="8">
        <v>2</v>
      </c>
    </row>
    <row r="42" spans="1:5">
      <c r="A42" s="6" t="s">
        <v>104</v>
      </c>
      <c r="B42" s="7" t="s">
        <v>105</v>
      </c>
      <c r="C42" s="7"/>
      <c r="D42" s="7" t="s">
        <v>19</v>
      </c>
      <c r="E42" s="8">
        <v>3</v>
      </c>
    </row>
    <row r="43" spans="1:5">
      <c r="A43" s="6" t="s">
        <v>106</v>
      </c>
      <c r="B43" s="7" t="s">
        <v>107</v>
      </c>
      <c r="C43" s="7" t="s">
        <v>28</v>
      </c>
      <c r="D43" s="7" t="s">
        <v>29</v>
      </c>
      <c r="E43" s="8"/>
    </row>
    <row r="44" spans="1:5">
      <c r="B44" s="9" t="s">
        <v>108</v>
      </c>
      <c r="E44" s="8">
        <f>SUM(E6:E43)</f>
        <v>0</v>
      </c>
    </row>
  </sheetData>
  <mergeCells count="1">
    <mergeCell ref="A1:E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46"/>
  <sheetViews>
    <sheetView showGridLines="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6.7109375" customWidth="1"/>
    <col min="3" max="3" width="44.7109375" customWidth="1"/>
    <col min="4" max="4" width="17.7109375" customWidth="1"/>
    <col min="5" max="5" width="8.7109375" customWidth="1"/>
    <col min="6" max="6" width="9.7109375" customWidth="1"/>
    <col min="7" max="8" width="12.7109375" customWidth="1"/>
    <col min="9" max="9" width="11.7109375" customWidth="1"/>
    <col min="10" max="11" width="12.7109375" customWidth="1"/>
    <col min="12" max="12" width="9.7109375" customWidth="1"/>
    <col min="13" max="13" width="10.7109375" customWidth="1"/>
    <col min="14" max="14" width="8.7109375" customWidth="1"/>
  </cols>
  <sheetData>
    <row r="1" spans="1:14" ht="2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4" customHeight="1">
      <c r="A2" s="2" t="s">
        <v>109</v>
      </c>
    </row>
    <row r="3" spans="1:14">
      <c r="A3" s="3" t="s">
        <v>110</v>
      </c>
    </row>
    <row r="5" spans="1:14" ht="30" customHeight="1">
      <c r="A5" s="4" t="s">
        <v>111</v>
      </c>
      <c r="B5" s="4" t="s">
        <v>11</v>
      </c>
      <c r="C5" s="4" t="s">
        <v>112</v>
      </c>
      <c r="D5" s="4" t="s">
        <v>14</v>
      </c>
      <c r="E5" s="4" t="s">
        <v>113</v>
      </c>
      <c r="F5" s="4" t="s">
        <v>114</v>
      </c>
      <c r="G5" s="4" t="s">
        <v>115</v>
      </c>
      <c r="H5" s="4" t="s">
        <v>116</v>
      </c>
      <c r="I5" s="4" t="s">
        <v>117</v>
      </c>
      <c r="J5" s="4" t="s">
        <v>118</v>
      </c>
      <c r="K5" s="4" t="s">
        <v>119</v>
      </c>
      <c r="L5" s="4" t="s">
        <v>120</v>
      </c>
      <c r="M5" s="4" t="s">
        <v>121</v>
      </c>
      <c r="N5" s="4" t="s">
        <v>28</v>
      </c>
    </row>
    <row r="6" spans="1:14">
      <c r="A6" s="10">
        <v>1</v>
      </c>
      <c r="B6" s="10" t="s">
        <v>16</v>
      </c>
      <c r="C6" s="5" t="s">
        <v>122</v>
      </c>
      <c r="D6" s="5"/>
      <c r="E6" s="11">
        <f>SUM(E7:E10)</f>
        <v>0</v>
      </c>
      <c r="F6" s="10">
        <f>NETWORKDAYS(G6,H6,Holidays)</f>
        <v>0</v>
      </c>
      <c r="G6" s="12">
        <f>MIN(G7:G10)</f>
        <v>2026-03-02 00:00:00</v>
      </c>
      <c r="H6" s="12">
        <f>MAX(H7:H10)</f>
        <v>2026-03-11 00:00:00</v>
      </c>
      <c r="I6" s="10"/>
      <c r="J6" s="12">
        <f>MIN(J7:J10)</f>
        <v>2026-03-02 00:00:00</v>
      </c>
      <c r="K6" s="12">
        <f>MAX(K7:K10)</f>
        <v>2026-03-11 00:00:00</v>
      </c>
      <c r="L6" s="10">
        <f>NETWORKDAYS(J6,K6,Holidays)</f>
        <v>0</v>
      </c>
      <c r="M6" s="10">
        <f>IF(K6&gt;=H6,NETWORKDAYS(H6,K6,Holidays)-1,-(NETWORKDAYS(K6,H6,Holidays)-1))</f>
        <v>0</v>
      </c>
      <c r="N6" s="10"/>
    </row>
    <row r="7" spans="1:14">
      <c r="A7" s="6">
        <v>2</v>
      </c>
      <c r="B7" s="6" t="s">
        <v>20</v>
      </c>
      <c r="C7" s="7" t="s">
        <v>123</v>
      </c>
      <c r="D7" s="7" t="s">
        <v>19</v>
      </c>
      <c r="E7" s="8">
        <v>4</v>
      </c>
      <c r="F7" s="6">
        <v>5</v>
      </c>
      <c r="G7" s="13">
        <v>46083</v>
      </c>
      <c r="H7" s="13">
        <v>46087</v>
      </c>
      <c r="I7" s="6"/>
      <c r="J7" s="13">
        <v>46083</v>
      </c>
      <c r="K7" s="13">
        <v>46087</v>
      </c>
      <c r="L7" s="6">
        <f>NETWORKDAYS(J7,K7,Holidays)</f>
        <v>0</v>
      </c>
      <c r="M7" s="6">
        <f>IF(K7&gt;=H7,NETWORKDAYS(H7,K7,Holidays)-1,-(NETWORKDAYS(K7,H7,Holidays)-1))</f>
        <v>0</v>
      </c>
      <c r="N7" s="6"/>
    </row>
    <row r="8" spans="1:14">
      <c r="A8" s="6">
        <v>3</v>
      </c>
      <c r="B8" s="6" t="s">
        <v>22</v>
      </c>
      <c r="C8" s="7" t="s">
        <v>124</v>
      </c>
      <c r="D8" s="7" t="s">
        <v>19</v>
      </c>
      <c r="E8" s="8">
        <v>2</v>
      </c>
      <c r="F8" s="6">
        <v>3</v>
      </c>
      <c r="G8" s="13">
        <v>46090</v>
      </c>
      <c r="H8" s="13">
        <v>46092</v>
      </c>
      <c r="I8" s="6" t="s">
        <v>30</v>
      </c>
      <c r="J8" s="13">
        <v>46090</v>
      </c>
      <c r="K8" s="13">
        <v>46092</v>
      </c>
      <c r="L8" s="6">
        <f>NETWORKDAYS(J8,K8,Holidays)</f>
        <v>0</v>
      </c>
      <c r="M8" s="6">
        <f>IF(K8&gt;=H8,NETWORKDAYS(H8,K8,Holidays)-1,-(NETWORKDAYS(K8,H8,Holidays)-1))</f>
        <v>0</v>
      </c>
      <c r="N8" s="6"/>
    </row>
    <row r="9" spans="1:14">
      <c r="A9" s="6">
        <v>4</v>
      </c>
      <c r="B9" s="6" t="s">
        <v>24</v>
      </c>
      <c r="C9" s="7" t="s">
        <v>125</v>
      </c>
      <c r="D9" s="7" t="s">
        <v>19</v>
      </c>
      <c r="E9" s="8">
        <v>1.5</v>
      </c>
      <c r="F9" s="6">
        <v>2</v>
      </c>
      <c r="G9" s="13">
        <v>46090</v>
      </c>
      <c r="H9" s="13">
        <v>46091</v>
      </c>
      <c r="I9" s="6" t="s">
        <v>30</v>
      </c>
      <c r="J9" s="13">
        <v>46090</v>
      </c>
      <c r="K9" s="13">
        <v>46091</v>
      </c>
      <c r="L9" s="6">
        <f>NETWORKDAYS(J9,K9,Holidays)</f>
        <v>0</v>
      </c>
      <c r="M9" s="6">
        <f>IF(K9&gt;=H9,NETWORKDAYS(H9,K9,Holidays)-1,-(NETWORKDAYS(K9,H9,Holidays)-1))</f>
        <v>0</v>
      </c>
      <c r="N9" s="6"/>
    </row>
    <row r="10" spans="1:14">
      <c r="A10" s="6">
        <v>5</v>
      </c>
      <c r="B10" s="6" t="s">
        <v>26</v>
      </c>
      <c r="C10" s="7" t="s">
        <v>126</v>
      </c>
      <c r="D10" s="7" t="s">
        <v>29</v>
      </c>
      <c r="E10" s="8">
        <v>0</v>
      </c>
      <c r="F10" s="6">
        <v>0</v>
      </c>
      <c r="G10" s="13">
        <v>46092</v>
      </c>
      <c r="H10" s="13">
        <v>46092</v>
      </c>
      <c r="I10" s="6" t="s">
        <v>127</v>
      </c>
      <c r="J10" s="13">
        <v>46092</v>
      </c>
      <c r="K10" s="13">
        <v>46092</v>
      </c>
      <c r="L10" s="6">
        <v>0</v>
      </c>
      <c r="M10" s="6">
        <f>IF(K10&gt;=H10,NETWORKDAYS(H10,K10,Holidays)-1,-(NETWORKDAYS(K10,H10,Holidays)-1))</f>
        <v>0</v>
      </c>
      <c r="N10" s="6" t="s">
        <v>128</v>
      </c>
    </row>
    <row r="11" spans="1:14">
      <c r="A11" s="10">
        <v>6</v>
      </c>
      <c r="B11" s="10" t="s">
        <v>30</v>
      </c>
      <c r="C11" s="5" t="s">
        <v>129</v>
      </c>
      <c r="D11" s="5"/>
      <c r="E11" s="11">
        <f>SUM(E12:E16)</f>
        <v>0</v>
      </c>
      <c r="F11" s="10">
        <f>NETWORKDAYS(G11,H11,Holidays)</f>
        <v>0</v>
      </c>
      <c r="G11" s="12">
        <f>MIN(G12:G16)</f>
        <v>2026-03-12 00:00:00</v>
      </c>
      <c r="H11" s="12">
        <f>MAX(H12:H16)</f>
        <v>2026-04-07 00:00:00</v>
      </c>
      <c r="I11" s="10"/>
      <c r="J11" s="12">
        <f>MIN(J12:J16)</f>
        <v>2026-03-12 00:00:00</v>
      </c>
      <c r="K11" s="12">
        <f>MAX(K12:K16)</f>
        <v>2026-04-07 00:00:00</v>
      </c>
      <c r="L11" s="10">
        <f>NETWORKDAYS(J11,K11,Holidays)</f>
        <v>0</v>
      </c>
      <c r="M11" s="10">
        <f>IF(K11&gt;=H11,NETWORKDAYS(H11,K11,Holidays)-1,-(NETWORKDAYS(K11,H11,Holidays)-1))</f>
        <v>0</v>
      </c>
      <c r="N11" s="10"/>
    </row>
    <row r="12" spans="1:14">
      <c r="A12" s="6">
        <v>7</v>
      </c>
      <c r="B12" s="6" t="s">
        <v>33</v>
      </c>
      <c r="C12" s="7" t="s">
        <v>130</v>
      </c>
      <c r="D12" s="7" t="s">
        <v>19</v>
      </c>
      <c r="E12" s="8">
        <v>6</v>
      </c>
      <c r="F12" s="6">
        <v>5</v>
      </c>
      <c r="G12" s="13">
        <v>46093</v>
      </c>
      <c r="H12" s="13">
        <v>46099</v>
      </c>
      <c r="I12" s="6" t="s">
        <v>69</v>
      </c>
      <c r="J12" s="13">
        <v>46093</v>
      </c>
      <c r="K12" s="13">
        <v>46099</v>
      </c>
      <c r="L12" s="6">
        <f>NETWORKDAYS(J12,K12,Holidays)</f>
        <v>0</v>
      </c>
      <c r="M12" s="6">
        <f>IF(K12&gt;=H12,NETWORKDAYS(H12,K12,Holidays)-1,-(NETWORKDAYS(K12,H12,Holidays)-1))</f>
        <v>0</v>
      </c>
      <c r="N12" s="6"/>
    </row>
    <row r="13" spans="1:14">
      <c r="A13" s="6">
        <v>8</v>
      </c>
      <c r="B13" s="6" t="s">
        <v>35</v>
      </c>
      <c r="C13" s="7" t="s">
        <v>131</v>
      </c>
      <c r="D13" s="7" t="s">
        <v>19</v>
      </c>
      <c r="E13" s="8">
        <v>4</v>
      </c>
      <c r="F13" s="6">
        <v>4</v>
      </c>
      <c r="G13" s="13">
        <v>46100</v>
      </c>
      <c r="H13" s="13">
        <v>46105</v>
      </c>
      <c r="I13" s="6" t="s">
        <v>90</v>
      </c>
      <c r="J13" s="13">
        <v>46100</v>
      </c>
      <c r="K13" s="13">
        <v>46105</v>
      </c>
      <c r="L13" s="6">
        <f>NETWORKDAYS(J13,K13,Holidays)</f>
        <v>0</v>
      </c>
      <c r="M13" s="6">
        <f>IF(K13&gt;=H13,NETWORKDAYS(H13,K13,Holidays)-1,-(NETWORKDAYS(K13,H13,Holidays)-1))</f>
        <v>0</v>
      </c>
      <c r="N13" s="6"/>
    </row>
    <row r="14" spans="1:14">
      <c r="A14" s="6">
        <v>9</v>
      </c>
      <c r="B14" s="6" t="s">
        <v>37</v>
      </c>
      <c r="C14" s="7" t="s">
        <v>132</v>
      </c>
      <c r="D14" s="7" t="s">
        <v>39</v>
      </c>
      <c r="E14" s="8">
        <v>0</v>
      </c>
      <c r="F14" s="6">
        <v>0</v>
      </c>
      <c r="G14" s="13">
        <v>46105</v>
      </c>
      <c r="H14" s="13">
        <v>46105</v>
      </c>
      <c r="I14" s="6" t="s">
        <v>99</v>
      </c>
      <c r="J14" s="13">
        <v>46105</v>
      </c>
      <c r="K14" s="13">
        <v>46105</v>
      </c>
      <c r="L14" s="6">
        <v>0</v>
      </c>
      <c r="M14" s="6">
        <f>IF(K14&gt;=H14,NETWORKDAYS(H14,K14,Holidays)-1,-(NETWORKDAYS(K14,H14,Holidays)-1))</f>
        <v>0</v>
      </c>
      <c r="N14" s="6" t="s">
        <v>128</v>
      </c>
    </row>
    <row r="15" spans="1:14">
      <c r="A15" s="6">
        <v>10</v>
      </c>
      <c r="B15" s="6" t="s">
        <v>40</v>
      </c>
      <c r="C15" s="7" t="s">
        <v>133</v>
      </c>
      <c r="D15" s="7" t="s">
        <v>19</v>
      </c>
      <c r="E15" s="8">
        <v>6</v>
      </c>
      <c r="F15" s="6">
        <v>8</v>
      </c>
      <c r="G15" s="13">
        <v>46106</v>
      </c>
      <c r="H15" s="13">
        <v>46119</v>
      </c>
      <c r="I15" s="6" t="s">
        <v>134</v>
      </c>
      <c r="J15" s="13">
        <v>46106</v>
      </c>
      <c r="K15" s="13">
        <v>46119</v>
      </c>
      <c r="L15" s="6">
        <f>NETWORKDAYS(J15,K15,Holidays)</f>
        <v>0</v>
      </c>
      <c r="M15" s="6">
        <f>IF(K15&gt;=H15,NETWORKDAYS(H15,K15,Holidays)-1,-(NETWORKDAYS(K15,H15,Holidays)-1))</f>
        <v>0</v>
      </c>
      <c r="N15" s="6"/>
    </row>
    <row r="16" spans="1:14">
      <c r="A16" s="6">
        <v>11</v>
      </c>
      <c r="B16" s="6" t="s">
        <v>42</v>
      </c>
      <c r="C16" s="7" t="s">
        <v>135</v>
      </c>
      <c r="D16" s="7" t="s">
        <v>29</v>
      </c>
      <c r="E16" s="8">
        <v>0</v>
      </c>
      <c r="F16" s="6">
        <v>0</v>
      </c>
      <c r="G16" s="13">
        <v>46119</v>
      </c>
      <c r="H16" s="13">
        <v>46119</v>
      </c>
      <c r="I16" s="6" t="s">
        <v>136</v>
      </c>
      <c r="J16" s="13">
        <v>46119</v>
      </c>
      <c r="K16" s="13">
        <v>46119</v>
      </c>
      <c r="L16" s="6">
        <v>0</v>
      </c>
      <c r="M16" s="6">
        <f>IF(K16&gt;=H16,NETWORKDAYS(H16,K16,Holidays)-1,-(NETWORKDAYS(K16,H16,Holidays)-1))</f>
        <v>0</v>
      </c>
      <c r="N16" s="6" t="s">
        <v>128</v>
      </c>
    </row>
    <row r="17" spans="1:14">
      <c r="A17" s="10">
        <v>12</v>
      </c>
      <c r="B17" s="10" t="s">
        <v>44</v>
      </c>
      <c r="C17" s="5" t="s">
        <v>137</v>
      </c>
      <c r="D17" s="5"/>
      <c r="E17" s="11">
        <f>SUM(E18:E23)</f>
        <v>0</v>
      </c>
      <c r="F17" s="10">
        <f>NETWORKDAYS(G17,H17,Holidays)</f>
        <v>0</v>
      </c>
      <c r="G17" s="12">
        <f>MIN(G18:G23)</f>
        <v>2026-04-08 00:00:00</v>
      </c>
      <c r="H17" s="12">
        <f>MAX(H18:H23)</f>
        <v>2026-05-12 00:00:00</v>
      </c>
      <c r="I17" s="10"/>
      <c r="J17" s="12">
        <f>MIN(J18:J23)</f>
        <v>2026-04-08 00:00:00</v>
      </c>
      <c r="K17" s="12">
        <f>MAX(K18:K23)</f>
        <v>2026-05-12 00:00:00</v>
      </c>
      <c r="L17" s="10">
        <f>NETWORKDAYS(J17,K17,Holidays)</f>
        <v>0</v>
      </c>
      <c r="M17" s="10">
        <f>IF(K17&gt;=H17,NETWORKDAYS(H17,K17,Holidays)-1,-(NETWORKDAYS(K17,H17,Holidays)-1))</f>
        <v>0</v>
      </c>
      <c r="N17" s="10"/>
    </row>
    <row r="18" spans="1:14">
      <c r="A18" s="6">
        <v>13</v>
      </c>
      <c r="B18" s="6" t="s">
        <v>48</v>
      </c>
      <c r="C18" s="7" t="s">
        <v>138</v>
      </c>
      <c r="D18" s="7" t="s">
        <v>47</v>
      </c>
      <c r="E18" s="8">
        <v>5</v>
      </c>
      <c r="F18" s="6">
        <v>5</v>
      </c>
      <c r="G18" s="13">
        <v>46120</v>
      </c>
      <c r="H18" s="13">
        <v>46126</v>
      </c>
      <c r="I18" s="6" t="s">
        <v>139</v>
      </c>
      <c r="J18" s="13">
        <v>46120</v>
      </c>
      <c r="K18" s="13">
        <v>46126</v>
      </c>
      <c r="L18" s="6">
        <f>NETWORKDAYS(J18,K18,Holidays)</f>
        <v>0</v>
      </c>
      <c r="M18" s="6">
        <f>IF(K18&gt;=H18,NETWORKDAYS(H18,K18,Holidays)-1,-(NETWORKDAYS(K18,H18,Holidays)-1))</f>
        <v>0</v>
      </c>
      <c r="N18" s="6"/>
    </row>
    <row r="19" spans="1:14">
      <c r="A19" s="6">
        <v>14</v>
      </c>
      <c r="B19" s="6" t="s">
        <v>50</v>
      </c>
      <c r="C19" s="7" t="s">
        <v>140</v>
      </c>
      <c r="D19" s="7" t="s">
        <v>47</v>
      </c>
      <c r="E19" s="8">
        <v>9</v>
      </c>
      <c r="F19" s="6">
        <v>10</v>
      </c>
      <c r="G19" s="13">
        <v>46127</v>
      </c>
      <c r="H19" s="13">
        <v>46140</v>
      </c>
      <c r="I19" s="6" t="s">
        <v>141</v>
      </c>
      <c r="J19" s="13">
        <v>46127</v>
      </c>
      <c r="K19" s="13">
        <v>46140</v>
      </c>
      <c r="L19" s="6">
        <f>NETWORKDAYS(J19,K19,Holidays)</f>
        <v>0</v>
      </c>
      <c r="M19" s="6">
        <f>IF(K19&gt;=H19,NETWORKDAYS(H19,K19,Holidays)-1,-(NETWORKDAYS(K19,H19,Holidays)-1))</f>
        <v>0</v>
      </c>
      <c r="N19" s="6"/>
    </row>
    <row r="20" spans="1:14">
      <c r="A20" s="6">
        <v>15</v>
      </c>
      <c r="B20" s="6" t="s">
        <v>52</v>
      </c>
      <c r="C20" s="7" t="s">
        <v>142</v>
      </c>
      <c r="D20" s="7" t="s">
        <v>47</v>
      </c>
      <c r="E20" s="8">
        <v>6</v>
      </c>
      <c r="F20" s="6">
        <v>6</v>
      </c>
      <c r="G20" s="13">
        <v>46141</v>
      </c>
      <c r="H20" s="13">
        <v>46149</v>
      </c>
      <c r="I20" s="6" t="s">
        <v>143</v>
      </c>
      <c r="J20" s="13">
        <v>46141</v>
      </c>
      <c r="K20" s="13">
        <v>46149</v>
      </c>
      <c r="L20" s="6">
        <f>NETWORKDAYS(J20,K20,Holidays)</f>
        <v>0</v>
      </c>
      <c r="M20" s="6">
        <f>IF(K20&gt;=H20,NETWORKDAYS(H20,K20,Holidays)-1,-(NETWORKDAYS(K20,H20,Holidays)-1))</f>
        <v>0</v>
      </c>
      <c r="N20" s="6"/>
    </row>
    <row r="21" spans="1:14">
      <c r="A21" s="6">
        <v>16</v>
      </c>
      <c r="B21" s="6" t="s">
        <v>54</v>
      </c>
      <c r="C21" s="7" t="s">
        <v>144</v>
      </c>
      <c r="D21" s="7" t="s">
        <v>47</v>
      </c>
      <c r="E21" s="8">
        <v>7</v>
      </c>
      <c r="F21" s="6">
        <v>6</v>
      </c>
      <c r="G21" s="13">
        <v>46127</v>
      </c>
      <c r="H21" s="13">
        <v>46134</v>
      </c>
      <c r="I21" s="6" t="s">
        <v>141</v>
      </c>
      <c r="J21" s="13">
        <v>46127</v>
      </c>
      <c r="K21" s="13">
        <v>46139</v>
      </c>
      <c r="L21" s="6">
        <f>NETWORKDAYS(J21,K21,Holidays)</f>
        <v>0</v>
      </c>
      <c r="M21" s="6">
        <f>IF(K21&gt;=H21,NETWORKDAYS(H21,K21,Holidays)-1,-(NETWORKDAYS(K21,H21,Holidays)-1))</f>
        <v>0</v>
      </c>
      <c r="N21" s="6"/>
    </row>
    <row r="22" spans="1:14">
      <c r="A22" s="6">
        <v>17</v>
      </c>
      <c r="B22" s="6" t="s">
        <v>56</v>
      </c>
      <c r="C22" s="7" t="s">
        <v>145</v>
      </c>
      <c r="D22" s="7" t="s">
        <v>58</v>
      </c>
      <c r="E22" s="8">
        <v>3</v>
      </c>
      <c r="F22" s="6">
        <v>3</v>
      </c>
      <c r="G22" s="13">
        <v>46150</v>
      </c>
      <c r="H22" s="13">
        <v>46154</v>
      </c>
      <c r="I22" s="6" t="s">
        <v>146</v>
      </c>
      <c r="J22" s="13">
        <v>46150</v>
      </c>
      <c r="K22" s="13">
        <v>46154</v>
      </c>
      <c r="L22" s="6">
        <f>NETWORKDAYS(J22,K22,Holidays)</f>
        <v>0</v>
      </c>
      <c r="M22" s="6">
        <f>IF(K22&gt;=H22,NETWORKDAYS(H22,K22,Holidays)-1,-(NETWORKDAYS(K22,H22,Holidays)-1))</f>
        <v>0</v>
      </c>
      <c r="N22" s="6"/>
    </row>
    <row r="23" spans="1:14">
      <c r="A23" s="6">
        <v>18</v>
      </c>
      <c r="B23" s="6" t="s">
        <v>59</v>
      </c>
      <c r="C23" s="7" t="s">
        <v>147</v>
      </c>
      <c r="D23" s="7" t="s">
        <v>47</v>
      </c>
      <c r="E23" s="8">
        <v>0</v>
      </c>
      <c r="F23" s="6">
        <v>0</v>
      </c>
      <c r="G23" s="13">
        <v>46154</v>
      </c>
      <c r="H23" s="13">
        <v>46154</v>
      </c>
      <c r="I23" s="6" t="s">
        <v>148</v>
      </c>
      <c r="J23" s="13">
        <v>46154</v>
      </c>
      <c r="K23" s="13">
        <v>46154</v>
      </c>
      <c r="L23" s="6">
        <v>0</v>
      </c>
      <c r="M23" s="6">
        <f>IF(K23&gt;=H23,NETWORKDAYS(H23,K23,Holidays)-1,-(NETWORKDAYS(K23,H23,Holidays)-1))</f>
        <v>0</v>
      </c>
      <c r="N23" s="6" t="s">
        <v>128</v>
      </c>
    </row>
    <row r="24" spans="1:14">
      <c r="A24" s="10">
        <v>19</v>
      </c>
      <c r="B24" s="10" t="s">
        <v>61</v>
      </c>
      <c r="C24" s="5" t="s">
        <v>149</v>
      </c>
      <c r="D24" s="5"/>
      <c r="E24" s="11">
        <f>SUM(E25:E26)</f>
        <v>0</v>
      </c>
      <c r="F24" s="10">
        <f>NETWORKDAYS(G24,H24,Holidays)</f>
        <v>0</v>
      </c>
      <c r="G24" s="12">
        <f>MIN(G25:G26)</f>
        <v>2026-04-15 00:00:00</v>
      </c>
      <c r="H24" s="12">
        <f>MAX(H25:H26)</f>
        <v>2026-05-12 00:00:00</v>
      </c>
      <c r="I24" s="10"/>
      <c r="J24" s="12">
        <f>MIN(J25:J26)</f>
        <v>2026-04-15 00:00:00</v>
      </c>
      <c r="K24" s="12">
        <f>MAX(K25:K26)</f>
        <v>2026-05-18 00:00:00</v>
      </c>
      <c r="L24" s="10">
        <f>NETWORKDAYS(J24,K24,Holidays)</f>
        <v>0</v>
      </c>
      <c r="M24" s="10">
        <f>IF(K24&gt;=H24,NETWORKDAYS(H24,K24,Holidays)-1,-(NETWORKDAYS(K24,H24,Holidays)-1))</f>
        <v>0</v>
      </c>
      <c r="N24" s="10"/>
    </row>
    <row r="25" spans="1:14">
      <c r="A25" s="6">
        <v>20</v>
      </c>
      <c r="B25" s="6" t="s">
        <v>65</v>
      </c>
      <c r="C25" s="7" t="s">
        <v>150</v>
      </c>
      <c r="D25" s="7" t="s">
        <v>64</v>
      </c>
      <c r="E25" s="8">
        <v>10</v>
      </c>
      <c r="F25" s="6">
        <v>10</v>
      </c>
      <c r="G25" s="13">
        <v>46127</v>
      </c>
      <c r="H25" s="13">
        <v>46140</v>
      </c>
      <c r="I25" s="6" t="s">
        <v>141</v>
      </c>
      <c r="J25" s="13">
        <v>46127</v>
      </c>
      <c r="K25" s="13">
        <v>46155</v>
      </c>
      <c r="L25" s="6">
        <f>NETWORKDAYS(J25,K25,Holidays)</f>
        <v>0</v>
      </c>
      <c r="M25" s="6">
        <f>IF(K25&gt;=H25,NETWORKDAYS(H25,K25,Holidays)-1,-(NETWORKDAYS(K25,H25,Holidays)-1))</f>
        <v>0</v>
      </c>
      <c r="N25" s="6"/>
    </row>
    <row r="26" spans="1:14">
      <c r="A26" s="6">
        <v>21</v>
      </c>
      <c r="B26" s="6" t="s">
        <v>67</v>
      </c>
      <c r="C26" s="7" t="s">
        <v>151</v>
      </c>
      <c r="D26" s="7" t="s">
        <v>47</v>
      </c>
      <c r="E26" s="8">
        <v>3</v>
      </c>
      <c r="F26" s="6">
        <v>3</v>
      </c>
      <c r="G26" s="13">
        <v>46150</v>
      </c>
      <c r="H26" s="13">
        <v>46154</v>
      </c>
      <c r="I26" s="6" t="s">
        <v>152</v>
      </c>
      <c r="J26" s="13">
        <v>46156</v>
      </c>
      <c r="K26" s="13">
        <v>46160</v>
      </c>
      <c r="L26" s="6">
        <f>NETWORKDAYS(J26,K26,Holidays)</f>
        <v>0</v>
      </c>
      <c r="M26" s="6">
        <f>IF(K26&gt;=H26,NETWORKDAYS(H26,K26,Holidays)-1,-(NETWORKDAYS(K26,H26,Holidays)-1))</f>
        <v>0</v>
      </c>
      <c r="N26" s="6"/>
    </row>
    <row r="27" spans="1:14">
      <c r="A27" s="10">
        <v>22</v>
      </c>
      <c r="B27" s="10" t="s">
        <v>69</v>
      </c>
      <c r="C27" s="5" t="s">
        <v>153</v>
      </c>
      <c r="D27" s="5"/>
      <c r="E27" s="11">
        <f>SUM(E28:E30)</f>
        <v>0</v>
      </c>
      <c r="F27" s="10">
        <f>NETWORKDAYS(G27,H27,Holidays)</f>
        <v>0</v>
      </c>
      <c r="G27" s="12">
        <f>MIN(G28:G30)</f>
        <v>2026-04-15 00:00:00</v>
      </c>
      <c r="H27" s="12">
        <f>MAX(H28:H30)</f>
        <v>2026-05-18 00:00:00</v>
      </c>
      <c r="I27" s="10"/>
      <c r="J27" s="12">
        <f>MIN(J28:J30)</f>
        <v>2026-04-15 00:00:00</v>
      </c>
      <c r="K27" s="12">
        <f>MAX(K28:K30)</f>
        <v>2026-05-22 00:00:00</v>
      </c>
      <c r="L27" s="10">
        <f>NETWORKDAYS(J27,K27,Holidays)</f>
        <v>0</v>
      </c>
      <c r="M27" s="10">
        <f>IF(K27&gt;=H27,NETWORKDAYS(H27,K27,Holidays)-1,-(NETWORKDAYS(K27,H27,Holidays)-1))</f>
        <v>0</v>
      </c>
      <c r="N27" s="10"/>
    </row>
    <row r="28" spans="1:14">
      <c r="A28" s="6">
        <v>23</v>
      </c>
      <c r="B28" s="6" t="s">
        <v>72</v>
      </c>
      <c r="C28" s="7" t="s">
        <v>154</v>
      </c>
      <c r="D28" s="7" t="s">
        <v>19</v>
      </c>
      <c r="E28" s="8">
        <v>2.5</v>
      </c>
      <c r="F28" s="6">
        <v>3</v>
      </c>
      <c r="G28" s="13">
        <v>46127</v>
      </c>
      <c r="H28" s="13">
        <v>46129</v>
      </c>
      <c r="I28" s="6" t="s">
        <v>141</v>
      </c>
      <c r="J28" s="13">
        <v>46127</v>
      </c>
      <c r="K28" s="13">
        <v>46129</v>
      </c>
      <c r="L28" s="6">
        <f>NETWORKDAYS(J28,K28,Holidays)</f>
        <v>0</v>
      </c>
      <c r="M28" s="6">
        <f>IF(K28&gt;=H28,NETWORKDAYS(H28,K28,Holidays)-1,-(NETWORKDAYS(K28,H28,Holidays)-1))</f>
        <v>0</v>
      </c>
      <c r="N28" s="6"/>
    </row>
    <row r="29" spans="1:14">
      <c r="A29" s="6">
        <v>24</v>
      </c>
      <c r="B29" s="6" t="s">
        <v>74</v>
      </c>
      <c r="C29" s="7" t="s">
        <v>155</v>
      </c>
      <c r="D29" s="7" t="s">
        <v>39</v>
      </c>
      <c r="E29" s="8">
        <v>8</v>
      </c>
      <c r="F29" s="6">
        <v>4</v>
      </c>
      <c r="G29" s="13">
        <v>46155</v>
      </c>
      <c r="H29" s="13">
        <v>46160</v>
      </c>
      <c r="I29" s="6" t="s">
        <v>156</v>
      </c>
      <c r="J29" s="13">
        <v>46161</v>
      </c>
      <c r="K29" s="13">
        <v>46164</v>
      </c>
      <c r="L29" s="6">
        <f>NETWORKDAYS(J29,K29,Holidays)</f>
        <v>0</v>
      </c>
      <c r="M29" s="6">
        <f>IF(K29&gt;=H29,NETWORKDAYS(H29,K29,Holidays)-1,-(NETWORKDAYS(K29,H29,Holidays)-1))</f>
        <v>0</v>
      </c>
      <c r="N29" s="6"/>
    </row>
    <row r="30" spans="1:14">
      <c r="A30" s="6">
        <v>25</v>
      </c>
      <c r="B30" s="6" t="s">
        <v>76</v>
      </c>
      <c r="C30" s="7" t="s">
        <v>157</v>
      </c>
      <c r="D30" s="7" t="s">
        <v>29</v>
      </c>
      <c r="E30" s="8">
        <v>0</v>
      </c>
      <c r="F30" s="6">
        <v>0</v>
      </c>
      <c r="G30" s="13">
        <v>46160</v>
      </c>
      <c r="H30" s="13">
        <v>46160</v>
      </c>
      <c r="I30" s="6" t="s">
        <v>158</v>
      </c>
      <c r="J30" s="13">
        <v>46164</v>
      </c>
      <c r="K30" s="13">
        <v>46164</v>
      </c>
      <c r="L30" s="6">
        <v>0</v>
      </c>
      <c r="M30" s="6">
        <f>IF(K30&gt;=H30,NETWORKDAYS(H30,K30,Holidays)-1,-(NETWORKDAYS(K30,H30,Holidays)-1))</f>
        <v>0</v>
      </c>
      <c r="N30" s="6" t="s">
        <v>128</v>
      </c>
    </row>
    <row r="31" spans="1:14">
      <c r="A31" s="10">
        <v>26</v>
      </c>
      <c r="B31" s="10" t="s">
        <v>78</v>
      </c>
      <c r="C31" s="5" t="s">
        <v>159</v>
      </c>
      <c r="D31" s="5"/>
      <c r="E31" s="11">
        <f>SUM(E32:E35)</f>
        <v>0</v>
      </c>
      <c r="F31" s="10">
        <f>NETWORKDAYS(G31,H31,Holidays)</f>
        <v>0</v>
      </c>
      <c r="G31" s="12">
        <f>MIN(G32:G35)</f>
        <v>2026-03-25 00:00:00</v>
      </c>
      <c r="H31" s="12">
        <f>MAX(H32:H35)</f>
        <v>2026-05-15 00:00:00</v>
      </c>
      <c r="I31" s="10"/>
      <c r="J31" s="12">
        <f>MIN(J32:J35)</f>
        <v>2026-03-25 00:00:00</v>
      </c>
      <c r="K31" s="12">
        <f>MAX(K32:K35)</f>
        <v>2026-05-15 00:00:00</v>
      </c>
      <c r="L31" s="10">
        <f>NETWORKDAYS(J31,K31,Holidays)</f>
        <v>0</v>
      </c>
      <c r="M31" s="10">
        <f>IF(K31&gt;=H31,NETWORKDAYS(H31,K31,Holidays)-1,-(NETWORKDAYS(K31,H31,Holidays)-1))</f>
        <v>0</v>
      </c>
      <c r="N31" s="10"/>
    </row>
    <row r="32" spans="1:14">
      <c r="A32" s="6">
        <v>27</v>
      </c>
      <c r="B32" s="6" t="s">
        <v>81</v>
      </c>
      <c r="C32" s="7" t="s">
        <v>160</v>
      </c>
      <c r="D32" s="7" t="s">
        <v>19</v>
      </c>
      <c r="E32" s="8">
        <v>2.5</v>
      </c>
      <c r="F32" s="6">
        <v>3</v>
      </c>
      <c r="G32" s="13">
        <v>46106</v>
      </c>
      <c r="H32" s="13">
        <v>46108</v>
      </c>
      <c r="I32" s="6" t="s">
        <v>134</v>
      </c>
      <c r="J32" s="13">
        <v>46106</v>
      </c>
      <c r="K32" s="13">
        <v>46108</v>
      </c>
      <c r="L32" s="6">
        <f>NETWORKDAYS(J32,K32,Holidays)</f>
        <v>0</v>
      </c>
      <c r="M32" s="6">
        <f>IF(K32&gt;=H32,NETWORKDAYS(H32,K32,Holidays)-1,-(NETWORKDAYS(K32,H32,Holidays)-1))</f>
        <v>0</v>
      </c>
      <c r="N32" s="6"/>
    </row>
    <row r="33" spans="1:14">
      <c r="A33" s="6">
        <v>28</v>
      </c>
      <c r="B33" s="6" t="s">
        <v>83</v>
      </c>
      <c r="C33" s="7" t="s">
        <v>161</v>
      </c>
      <c r="D33" s="7" t="s">
        <v>64</v>
      </c>
      <c r="E33" s="8">
        <v>4</v>
      </c>
      <c r="F33" s="6">
        <v>4</v>
      </c>
      <c r="G33" s="13">
        <v>46150</v>
      </c>
      <c r="H33" s="13">
        <v>46155</v>
      </c>
      <c r="I33" s="6" t="s">
        <v>146</v>
      </c>
      <c r="J33" s="13">
        <v>46150</v>
      </c>
      <c r="K33" s="13">
        <v>46155</v>
      </c>
      <c r="L33" s="6">
        <f>NETWORKDAYS(J33,K33,Holidays)</f>
        <v>0</v>
      </c>
      <c r="M33" s="6">
        <f>IF(K33&gt;=H33,NETWORKDAYS(H33,K33,Holidays)-1,-(NETWORKDAYS(K33,H33,Holidays)-1))</f>
        <v>0</v>
      </c>
      <c r="N33" s="6"/>
    </row>
    <row r="34" spans="1:14">
      <c r="A34" s="6">
        <v>29</v>
      </c>
      <c r="B34" s="6" t="s">
        <v>85</v>
      </c>
      <c r="C34" s="7" t="s">
        <v>162</v>
      </c>
      <c r="D34" s="7" t="s">
        <v>64</v>
      </c>
      <c r="E34" s="8">
        <v>6</v>
      </c>
      <c r="F34" s="6">
        <v>2</v>
      </c>
      <c r="G34" s="13">
        <v>46156</v>
      </c>
      <c r="H34" s="13">
        <v>46157</v>
      </c>
      <c r="I34" s="6" t="s">
        <v>163</v>
      </c>
      <c r="J34" s="13">
        <v>46156</v>
      </c>
      <c r="K34" s="13">
        <v>46157</v>
      </c>
      <c r="L34" s="6">
        <f>NETWORKDAYS(J34,K34,Holidays)</f>
        <v>0</v>
      </c>
      <c r="M34" s="6">
        <f>IF(K34&gt;=H34,NETWORKDAYS(H34,K34,Holidays)-1,-(NETWORKDAYS(K34,H34,Holidays)-1))</f>
        <v>0</v>
      </c>
      <c r="N34" s="6"/>
    </row>
    <row r="35" spans="1:14">
      <c r="A35" s="6">
        <v>30</v>
      </c>
      <c r="B35" s="6" t="s">
        <v>87</v>
      </c>
      <c r="C35" s="7" t="s">
        <v>164</v>
      </c>
      <c r="D35" s="7" t="s">
        <v>89</v>
      </c>
      <c r="E35" s="8">
        <v>8</v>
      </c>
      <c r="F35" s="6">
        <v>2</v>
      </c>
      <c r="G35" s="13">
        <v>46156</v>
      </c>
      <c r="H35" s="13">
        <v>46157</v>
      </c>
      <c r="I35" s="6" t="s">
        <v>163</v>
      </c>
      <c r="J35" s="13">
        <v>46156</v>
      </c>
      <c r="K35" s="13">
        <v>46157</v>
      </c>
      <c r="L35" s="6">
        <f>NETWORKDAYS(J35,K35,Holidays)</f>
        <v>0</v>
      </c>
      <c r="M35" s="6">
        <f>IF(K35&gt;=H35,NETWORKDAYS(H35,K35,Holidays)-1,-(NETWORKDAYS(K35,H35,Holidays)-1))</f>
        <v>0</v>
      </c>
      <c r="N35" s="6"/>
    </row>
    <row r="36" spans="1:14">
      <c r="A36" s="10">
        <v>31</v>
      </c>
      <c r="B36" s="10" t="s">
        <v>90</v>
      </c>
      <c r="C36" s="5" t="s">
        <v>165</v>
      </c>
      <c r="D36" s="5"/>
      <c r="E36" s="11">
        <f>SUM(E37:E39)</f>
        <v>0</v>
      </c>
      <c r="F36" s="10">
        <f>NETWORKDAYS(G36,H36,Holidays)</f>
        <v>0</v>
      </c>
      <c r="G36" s="12">
        <f>MIN(G37:G39)</f>
        <v>2026-05-19 00:00:00</v>
      </c>
      <c r="H36" s="12">
        <f>MAX(H37:H39)</f>
        <v>2026-06-04 00:00:00</v>
      </c>
      <c r="I36" s="10"/>
      <c r="J36" s="12">
        <f>MIN(J37:J39)</f>
        <v>2026-05-26 00:00:00</v>
      </c>
      <c r="K36" s="12">
        <f>MAX(K37:K39)</f>
        <v>2026-06-10 00:00:00</v>
      </c>
      <c r="L36" s="10">
        <f>NETWORKDAYS(J36,K36,Holidays)</f>
        <v>0</v>
      </c>
      <c r="M36" s="10">
        <f>IF(K36&gt;=H36,NETWORKDAYS(H36,K36,Holidays)-1,-(NETWORKDAYS(K36,H36,Holidays)-1))</f>
        <v>0</v>
      </c>
      <c r="N36" s="10"/>
    </row>
    <row r="37" spans="1:14">
      <c r="A37" s="6">
        <v>32</v>
      </c>
      <c r="B37" s="6" t="s">
        <v>93</v>
      </c>
      <c r="C37" s="7" t="s">
        <v>166</v>
      </c>
      <c r="D37" s="7" t="s">
        <v>47</v>
      </c>
      <c r="E37" s="8">
        <v>3</v>
      </c>
      <c r="F37" s="6">
        <v>2</v>
      </c>
      <c r="G37" s="13">
        <v>46161</v>
      </c>
      <c r="H37" s="13">
        <v>46162</v>
      </c>
      <c r="I37" s="6" t="s">
        <v>167</v>
      </c>
      <c r="J37" s="13">
        <v>46168</v>
      </c>
      <c r="K37" s="13">
        <v>46169</v>
      </c>
      <c r="L37" s="6">
        <f>NETWORKDAYS(J37,K37,Holidays)</f>
        <v>0</v>
      </c>
      <c r="M37" s="6">
        <f>IF(K37&gt;=H37,NETWORKDAYS(H37,K37,Holidays)-1,-(NETWORKDAYS(K37,H37,Holidays)-1))</f>
        <v>0</v>
      </c>
      <c r="N37" s="6"/>
    </row>
    <row r="38" spans="1:14">
      <c r="A38" s="6">
        <v>33</v>
      </c>
      <c r="B38" s="6" t="s">
        <v>95</v>
      </c>
      <c r="C38" s="7" t="s">
        <v>168</v>
      </c>
      <c r="D38" s="7" t="s">
        <v>29</v>
      </c>
      <c r="E38" s="8">
        <v>0</v>
      </c>
      <c r="F38" s="6">
        <v>0</v>
      </c>
      <c r="G38" s="13">
        <v>46162</v>
      </c>
      <c r="H38" s="13">
        <v>46162</v>
      </c>
      <c r="I38" s="6" t="s">
        <v>169</v>
      </c>
      <c r="J38" s="13">
        <v>46169</v>
      </c>
      <c r="K38" s="13">
        <v>46169</v>
      </c>
      <c r="L38" s="6">
        <v>0</v>
      </c>
      <c r="M38" s="6">
        <f>IF(K38&gt;=H38,NETWORKDAYS(H38,K38,Holidays)-1,-(NETWORKDAYS(K38,H38,Holidays)-1))</f>
        <v>0</v>
      </c>
      <c r="N38" s="6" t="s">
        <v>128</v>
      </c>
    </row>
    <row r="39" spans="1:14">
      <c r="A39" s="6">
        <v>34</v>
      </c>
      <c r="B39" s="6" t="s">
        <v>97</v>
      </c>
      <c r="C39" s="7" t="s">
        <v>170</v>
      </c>
      <c r="D39" s="7" t="s">
        <v>64</v>
      </c>
      <c r="E39" s="8">
        <v>6</v>
      </c>
      <c r="F39" s="6">
        <v>10</v>
      </c>
      <c r="G39" s="13">
        <v>46163</v>
      </c>
      <c r="H39" s="13">
        <v>46177</v>
      </c>
      <c r="I39" s="6" t="s">
        <v>171</v>
      </c>
      <c r="J39" s="13">
        <v>46170</v>
      </c>
      <c r="K39" s="13">
        <v>46183</v>
      </c>
      <c r="L39" s="6">
        <f>NETWORKDAYS(J39,K39,Holidays)</f>
        <v>0</v>
      </c>
      <c r="M39" s="6">
        <f>IF(K39&gt;=H39,NETWORKDAYS(H39,K39,Holidays)-1,-(NETWORKDAYS(K39,H39,Holidays)-1))</f>
        <v>0</v>
      </c>
      <c r="N39" s="6"/>
    </row>
    <row r="40" spans="1:14">
      <c r="A40" s="10">
        <v>35</v>
      </c>
      <c r="B40" s="10" t="s">
        <v>99</v>
      </c>
      <c r="C40" s="5" t="s">
        <v>172</v>
      </c>
      <c r="D40" s="5"/>
      <c r="E40" s="11">
        <f>SUM(E41:E43)</f>
        <v>0</v>
      </c>
      <c r="F40" s="10">
        <f>NETWORKDAYS(G40,H40,Holidays)</f>
        <v>0</v>
      </c>
      <c r="G40" s="12">
        <f>MIN(G41:G43)</f>
        <v>2026-06-05 00:00:00</v>
      </c>
      <c r="H40" s="12">
        <f>MAX(H41:H43)</f>
        <v>2026-06-10 00:00:00</v>
      </c>
      <c r="I40" s="10"/>
      <c r="J40" s="12">
        <f>MIN(J41:J43)</f>
        <v>2026-06-11 00:00:00</v>
      </c>
      <c r="K40" s="12">
        <f>MAX(K41:K43)</f>
        <v>2026-06-16 00:00:00</v>
      </c>
      <c r="L40" s="10">
        <f>NETWORKDAYS(J40,K40,Holidays)</f>
        <v>0</v>
      </c>
      <c r="M40" s="10">
        <f>IF(K40&gt;=H40,NETWORKDAYS(H40,K40,Holidays)-1,-(NETWORKDAYS(K40,H40,Holidays)-1))</f>
        <v>0</v>
      </c>
      <c r="N40" s="10"/>
    </row>
    <row r="41" spans="1:14">
      <c r="A41" s="6">
        <v>36</v>
      </c>
      <c r="B41" s="6" t="s">
        <v>102</v>
      </c>
      <c r="C41" s="7" t="s">
        <v>173</v>
      </c>
      <c r="D41" s="7" t="s">
        <v>19</v>
      </c>
      <c r="E41" s="8">
        <v>2</v>
      </c>
      <c r="F41" s="6">
        <v>1</v>
      </c>
      <c r="G41" s="13">
        <v>46178</v>
      </c>
      <c r="H41" s="13">
        <v>46178</v>
      </c>
      <c r="I41" s="6" t="s">
        <v>174</v>
      </c>
      <c r="J41" s="13">
        <v>46184</v>
      </c>
      <c r="K41" s="13">
        <v>46184</v>
      </c>
      <c r="L41" s="6">
        <f>NETWORKDAYS(J41,K41,Holidays)</f>
        <v>0</v>
      </c>
      <c r="M41" s="6">
        <f>IF(K41&gt;=H41,NETWORKDAYS(H41,K41,Holidays)-1,-(NETWORKDAYS(K41,H41,Holidays)-1))</f>
        <v>0</v>
      </c>
      <c r="N41" s="6"/>
    </row>
    <row r="42" spans="1:14">
      <c r="A42" s="6">
        <v>37</v>
      </c>
      <c r="B42" s="6" t="s">
        <v>104</v>
      </c>
      <c r="C42" s="7" t="s">
        <v>175</v>
      </c>
      <c r="D42" s="7" t="s">
        <v>19</v>
      </c>
      <c r="E42" s="8">
        <v>3</v>
      </c>
      <c r="F42" s="6">
        <v>3</v>
      </c>
      <c r="G42" s="13">
        <v>46181</v>
      </c>
      <c r="H42" s="13">
        <v>46183</v>
      </c>
      <c r="I42" s="6" t="s">
        <v>176</v>
      </c>
      <c r="J42" s="13">
        <v>46185</v>
      </c>
      <c r="K42" s="13">
        <v>46189</v>
      </c>
      <c r="L42" s="6">
        <f>NETWORKDAYS(J42,K42,Holidays)</f>
        <v>0</v>
      </c>
      <c r="M42" s="6">
        <f>IF(K42&gt;=H42,NETWORKDAYS(H42,K42,Holidays)-1,-(NETWORKDAYS(K42,H42,Holidays)-1))</f>
        <v>0</v>
      </c>
      <c r="N42" s="6"/>
    </row>
    <row r="43" spans="1:14">
      <c r="A43" s="6">
        <v>38</v>
      </c>
      <c r="B43" s="6" t="s">
        <v>106</v>
      </c>
      <c r="C43" s="7" t="s">
        <v>177</v>
      </c>
      <c r="D43" s="7" t="s">
        <v>29</v>
      </c>
      <c r="E43" s="8">
        <v>0</v>
      </c>
      <c r="F43" s="6">
        <v>0</v>
      </c>
      <c r="G43" s="13">
        <v>46183</v>
      </c>
      <c r="H43" s="13">
        <v>46183</v>
      </c>
      <c r="I43" s="6" t="s">
        <v>178</v>
      </c>
      <c r="J43" s="13">
        <v>46189</v>
      </c>
      <c r="K43" s="13">
        <v>46189</v>
      </c>
      <c r="L43" s="6">
        <v>0</v>
      </c>
      <c r="M43" s="6">
        <f>IF(K43&gt;=H43,NETWORKDAYS(H43,K43,Holidays)-1,-(NETWORKDAYS(K43,H43,Holidays)-1))</f>
        <v>0</v>
      </c>
      <c r="N43" s="6" t="s">
        <v>128</v>
      </c>
    </row>
    <row r="45" spans="1:14">
      <c r="C45" s="9" t="s">
        <v>179</v>
      </c>
      <c r="E45" s="8">
        <f>SUMPRODUCT((LEN(B6:B43)&gt;1)*E6:E43)</f>
        <v>0</v>
      </c>
    </row>
    <row r="46" spans="1:14">
      <c r="C46" s="14" t="s">
        <v>180</v>
      </c>
    </row>
  </sheetData>
  <mergeCells count="1">
    <mergeCell ref="A1:N1"/>
  </mergeCells>
  <conditionalFormatting sqref="M6:M43">
    <cfRule type="cellIs" dxfId="0" priority="1" operator="greaterThan">
      <formula>5</formula>
    </cfRule>
    <cfRule type="cellIs" dxfId="1" priority="2" operator="between">
      <formula>1</formula>
      <formula>5</formula>
    </cfRule>
  </conditionalFormatting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Y46"/>
  <sheetViews>
    <sheetView showGridLines="0"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6.7109375" customWidth="1"/>
    <col min="3" max="3" width="40.7109375" customWidth="1"/>
    <col min="4" max="5" width="11.7109375" customWidth="1"/>
    <col min="6" max="6" width="4.7109375" customWidth="1"/>
    <col min="7" max="22" width="3.85546875" customWidth="1"/>
    <col min="23" max="25" width="11.7109375" hidden="1" customWidth="1"/>
  </cols>
  <sheetData>
    <row r="1" spans="1:25" ht="3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5" ht="24" customHeight="1">
      <c r="A2" s="2" t="s">
        <v>181</v>
      </c>
    </row>
    <row r="3" spans="1:25">
      <c r="A3" s="3" t="s">
        <v>182</v>
      </c>
    </row>
    <row r="5" spans="1:25" ht="48" customHeight="1">
      <c r="A5" s="4" t="s">
        <v>111</v>
      </c>
      <c r="B5" s="4" t="s">
        <v>11</v>
      </c>
      <c r="C5" s="4" t="s">
        <v>112</v>
      </c>
      <c r="D5" s="4" t="s">
        <v>118</v>
      </c>
      <c r="E5" s="4" t="s">
        <v>119</v>
      </c>
      <c r="F5" s="4" t="s">
        <v>183</v>
      </c>
      <c r="G5" s="15">
        <v>46083</v>
      </c>
      <c r="H5" s="15">
        <v>46090</v>
      </c>
      <c r="I5" s="15">
        <v>46097</v>
      </c>
      <c r="J5" s="15">
        <v>46104</v>
      </c>
      <c r="K5" s="15">
        <v>46111</v>
      </c>
      <c r="L5" s="15">
        <v>46118</v>
      </c>
      <c r="M5" s="15">
        <v>46125</v>
      </c>
      <c r="N5" s="15">
        <v>46132</v>
      </c>
      <c r="O5" s="15">
        <v>46139</v>
      </c>
      <c r="P5" s="15">
        <v>46146</v>
      </c>
      <c r="Q5" s="15">
        <v>46153</v>
      </c>
      <c r="R5" s="15">
        <v>46160</v>
      </c>
      <c r="S5" s="15">
        <v>46167</v>
      </c>
      <c r="T5" s="15">
        <v>46174</v>
      </c>
      <c r="U5" s="15">
        <v>46181</v>
      </c>
      <c r="V5" s="15">
        <v>46188</v>
      </c>
    </row>
    <row r="6" spans="1:25">
      <c r="A6" s="10">
        <f>'Task list'!A6</f>
        <v>1</v>
      </c>
      <c r="B6" s="10" t="str">
        <f>'Task list'!B6</f>
        <v>1</v>
      </c>
      <c r="C6" s="5" t="str">
        <f>'Task list'!C6</f>
        <v>Initiation</v>
      </c>
      <c r="D6" s="12">
        <f>'Task list'!J6</f>
        <v>2026-03-02 00:00:00</v>
      </c>
      <c r="E6" s="12">
        <f>'Task list'!K6</f>
        <v>2026-03-11 00:00:00</v>
      </c>
      <c r="F6" s="10">
        <f>'Task list'!M6</f>
        <v>0</v>
      </c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3">
        <f>'Task list'!G6</f>
        <v>2026-03-02 00:00:00</v>
      </c>
      <c r="X6" s="13">
        <f>'Task list'!H6</f>
        <v>2026-03-11 00:00:00</v>
      </c>
      <c r="Y6" s="6">
        <f>'Task list'!N6</f>
        <v/>
      </c>
    </row>
    <row r="7" spans="1:25">
      <c r="A7" s="6">
        <f>'Task list'!A7</f>
        <v>2</v>
      </c>
      <c r="B7" s="6" t="str">
        <f>'Task list'!B7</f>
        <v>1.1</v>
      </c>
      <c r="C7" s="7" t="str">
        <f>'Task list'!C7</f>
        <v>   Business case and options appraisal</v>
      </c>
      <c r="D7" s="13">
        <f>'Task list'!J7</f>
        <v>2026-03-02 00:00:00</v>
      </c>
      <c r="E7" s="13">
        <f>'Task list'!K7</f>
        <v>2026-03-06 00:00:00</v>
      </c>
      <c r="F7" s="6">
        <f>'Task list'!M7</f>
        <v>0</v>
      </c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3">
        <f>'Task list'!G7</f>
        <v>2026-03-02 00:00:00</v>
      </c>
      <c r="X7" s="13">
        <f>'Task list'!H7</f>
        <v>2026-03-06 00:00:00</v>
      </c>
      <c r="Y7" s="6">
        <f>'Task list'!N7</f>
        <v/>
      </c>
    </row>
    <row r="8" spans="1:25">
      <c r="A8" s="6">
        <f>'Task list'!A8</f>
        <v>3</v>
      </c>
      <c r="B8" s="6" t="str">
        <f>'Task list'!B8</f>
        <v>1.2</v>
      </c>
      <c r="C8" s="7" t="str">
        <f>'Task list'!C8</f>
        <v>   Project charter</v>
      </c>
      <c r="D8" s="13">
        <f>'Task list'!J8</f>
        <v>2026-03-09 00:00:00</v>
      </c>
      <c r="E8" s="13">
        <f>'Task list'!K8</f>
        <v>2026-03-11 00:00:00</v>
      </c>
      <c r="F8" s="6">
        <f>'Task list'!M8</f>
        <v>0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3">
        <f>'Task list'!G8</f>
        <v>2026-03-09 00:00:00</v>
      </c>
      <c r="X8" s="13">
        <f>'Task list'!H8</f>
        <v>2026-03-11 00:00:00</v>
      </c>
      <c r="Y8" s="6">
        <f>'Task list'!N8</f>
        <v/>
      </c>
    </row>
    <row r="9" spans="1:25">
      <c r="A9" s="6">
        <f>'Task list'!A9</f>
        <v>4</v>
      </c>
      <c r="B9" s="6" t="str">
        <f>'Task list'!B9</f>
        <v>1.3</v>
      </c>
      <c r="C9" s="7" t="str">
        <f>'Task list'!C9</f>
        <v>   Stakeholder analysis and register</v>
      </c>
      <c r="D9" s="13">
        <f>'Task list'!J9</f>
        <v>2026-03-09 00:00:00</v>
      </c>
      <c r="E9" s="13">
        <f>'Task list'!K9</f>
        <v>2026-03-10 00:00:00</v>
      </c>
      <c r="F9" s="6">
        <f>'Task list'!M9</f>
        <v>0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3">
        <f>'Task list'!G9</f>
        <v>2026-03-09 00:00:00</v>
      </c>
      <c r="X9" s="13">
        <f>'Task list'!H9</f>
        <v>2026-03-10 00:00:00</v>
      </c>
      <c r="Y9" s="6">
        <f>'Task list'!N9</f>
        <v/>
      </c>
    </row>
    <row r="10" spans="1:25">
      <c r="A10" s="6">
        <f>'Task list'!A10</f>
        <v>5</v>
      </c>
      <c r="B10" s="6" t="str">
        <f>'Task list'!B10</f>
        <v>1.4</v>
      </c>
      <c r="C10" s="7" t="str">
        <f>'Task list'!C10</f>
        <v>   M1 Charter and business case approved</v>
      </c>
      <c r="D10" s="13">
        <f>'Task list'!J10</f>
        <v>2026-03-11 00:00:00</v>
      </c>
      <c r="E10" s="13">
        <f>'Task list'!K10</f>
        <v>2026-03-11 00:00:00</v>
      </c>
      <c r="F10" s="6">
        <f>'Task list'!M10</f>
        <v>0</v>
      </c>
      <c r="G10" s="16">
        <f>IF(AND('Task list'!$K10&gt;=G$5,'Task list'!$K10&lt;G$5+7),"◆",IF(AND('Task list'!$H10&gt;=G$5,'Task list'!$H10&lt;G$5+7),"◇",""))</f>
        <v>0</v>
      </c>
      <c r="H10" s="16">
        <f>IF(AND('Task list'!$K10&gt;=H$5,'Task list'!$K10&lt;H$5+7),"◆",IF(AND('Task list'!$H10&gt;=H$5,'Task list'!$H10&lt;H$5+7),"◇",""))</f>
        <v>0</v>
      </c>
      <c r="I10" s="16">
        <f>IF(AND('Task list'!$K10&gt;=I$5,'Task list'!$K10&lt;I$5+7),"◆",IF(AND('Task list'!$H10&gt;=I$5,'Task list'!$H10&lt;I$5+7),"◇",""))</f>
        <v>0</v>
      </c>
      <c r="J10" s="16">
        <f>IF(AND('Task list'!$K10&gt;=J$5,'Task list'!$K10&lt;J$5+7),"◆",IF(AND('Task list'!$H10&gt;=J$5,'Task list'!$H10&lt;J$5+7),"◇",""))</f>
        <v>0</v>
      </c>
      <c r="K10" s="16">
        <f>IF(AND('Task list'!$K10&gt;=K$5,'Task list'!$K10&lt;K$5+7),"◆",IF(AND('Task list'!$H10&gt;=K$5,'Task list'!$H10&lt;K$5+7),"◇",""))</f>
        <v>0</v>
      </c>
      <c r="L10" s="16">
        <f>IF(AND('Task list'!$K10&gt;=L$5,'Task list'!$K10&lt;L$5+7),"◆",IF(AND('Task list'!$H10&gt;=L$5,'Task list'!$H10&lt;L$5+7),"◇",""))</f>
        <v>0</v>
      </c>
      <c r="M10" s="16">
        <f>IF(AND('Task list'!$K10&gt;=M$5,'Task list'!$K10&lt;M$5+7),"◆",IF(AND('Task list'!$H10&gt;=M$5,'Task list'!$H10&lt;M$5+7),"◇",""))</f>
        <v>0</v>
      </c>
      <c r="N10" s="16">
        <f>IF(AND('Task list'!$K10&gt;=N$5,'Task list'!$K10&lt;N$5+7),"◆",IF(AND('Task list'!$H10&gt;=N$5,'Task list'!$H10&lt;N$5+7),"◇",""))</f>
        <v>0</v>
      </c>
      <c r="O10" s="16">
        <f>IF(AND('Task list'!$K10&gt;=O$5,'Task list'!$K10&lt;O$5+7),"◆",IF(AND('Task list'!$H10&gt;=O$5,'Task list'!$H10&lt;O$5+7),"◇",""))</f>
        <v>0</v>
      </c>
      <c r="P10" s="16">
        <f>IF(AND('Task list'!$K10&gt;=P$5,'Task list'!$K10&lt;P$5+7),"◆",IF(AND('Task list'!$H10&gt;=P$5,'Task list'!$H10&lt;P$5+7),"◇",""))</f>
        <v>0</v>
      </c>
      <c r="Q10" s="16">
        <f>IF(AND('Task list'!$K10&gt;=Q$5,'Task list'!$K10&lt;Q$5+7),"◆",IF(AND('Task list'!$H10&gt;=Q$5,'Task list'!$H10&lt;Q$5+7),"◇",""))</f>
        <v>0</v>
      </c>
      <c r="R10" s="16">
        <f>IF(AND('Task list'!$K10&gt;=R$5,'Task list'!$K10&lt;R$5+7),"◆",IF(AND('Task list'!$H10&gt;=R$5,'Task list'!$H10&lt;R$5+7),"◇",""))</f>
        <v>0</v>
      </c>
      <c r="S10" s="16">
        <f>IF(AND('Task list'!$K10&gt;=S$5,'Task list'!$K10&lt;S$5+7),"◆",IF(AND('Task list'!$H10&gt;=S$5,'Task list'!$H10&lt;S$5+7),"◇",""))</f>
        <v>0</v>
      </c>
      <c r="T10" s="16">
        <f>IF(AND('Task list'!$K10&gt;=T$5,'Task list'!$K10&lt;T$5+7),"◆",IF(AND('Task list'!$H10&gt;=T$5,'Task list'!$H10&lt;T$5+7),"◇",""))</f>
        <v>0</v>
      </c>
      <c r="U10" s="16">
        <f>IF(AND('Task list'!$K10&gt;=U$5,'Task list'!$K10&lt;U$5+7),"◆",IF(AND('Task list'!$H10&gt;=U$5,'Task list'!$H10&lt;U$5+7),"◇",""))</f>
        <v>0</v>
      </c>
      <c r="V10" s="16">
        <f>IF(AND('Task list'!$K10&gt;=V$5,'Task list'!$K10&lt;V$5+7),"◆",IF(AND('Task list'!$H10&gt;=V$5,'Task list'!$H10&lt;V$5+7),"◇",""))</f>
        <v>0</v>
      </c>
      <c r="W10" s="13">
        <f>'Task list'!G10</f>
        <v>2026-03-11 00:00:00</v>
      </c>
      <c r="X10" s="13">
        <f>'Task list'!H10</f>
        <v>2026-03-11 00:00:00</v>
      </c>
      <c r="Y10" s="6" t="str">
        <f>'Task list'!N10</f>
        <v>Yes</v>
      </c>
    </row>
    <row r="11" spans="1:25">
      <c r="A11" s="10">
        <f>'Task list'!A11</f>
        <v>6</v>
      </c>
      <c r="B11" s="10" t="str">
        <f>'Task list'!B11</f>
        <v>2</v>
      </c>
      <c r="C11" s="5" t="str">
        <f>'Task list'!C11</f>
        <v>Requirements and supplier selection</v>
      </c>
      <c r="D11" s="12">
        <f>'Task list'!J11</f>
        <v>2026-03-12 00:00:00</v>
      </c>
      <c r="E11" s="12">
        <f>'Task list'!K11</f>
        <v>2026-04-07 00:00:00</v>
      </c>
      <c r="F11" s="10">
        <f>'Task list'!M11</f>
        <v>0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3">
        <f>'Task list'!G11</f>
        <v>2026-03-12 00:00:00</v>
      </c>
      <c r="X11" s="13">
        <f>'Task list'!H11</f>
        <v>2026-04-07 00:00:00</v>
      </c>
      <c r="Y11" s="6">
        <f>'Task list'!N11</f>
        <v/>
      </c>
    </row>
    <row r="12" spans="1:25">
      <c r="A12" s="6">
        <f>'Task list'!A12</f>
        <v>7</v>
      </c>
      <c r="B12" s="6" t="str">
        <f>'Task list'!B12</f>
        <v>2.1</v>
      </c>
      <c r="C12" s="7" t="str">
        <f>'Task list'!C12</f>
        <v>   Current-process mapping workshops</v>
      </c>
      <c r="D12" s="13">
        <f>'Task list'!J12</f>
        <v>2026-03-12 00:00:00</v>
      </c>
      <c r="E12" s="13">
        <f>'Task list'!K12</f>
        <v>2026-03-18 00:00:00</v>
      </c>
      <c r="F12" s="6">
        <f>'Task list'!M12</f>
        <v>0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3">
        <f>'Task list'!G12</f>
        <v>2026-03-12 00:00:00</v>
      </c>
      <c r="X12" s="13">
        <f>'Task list'!H12</f>
        <v>2026-03-18 00:00:00</v>
      </c>
      <c r="Y12" s="6">
        <f>'Task list'!N12</f>
        <v/>
      </c>
    </row>
    <row r="13" spans="1:25">
      <c r="A13" s="6">
        <f>'Task list'!A13</f>
        <v>8</v>
      </c>
      <c r="B13" s="6" t="str">
        <f>'Task list'!B13</f>
        <v>2.2</v>
      </c>
      <c r="C13" s="7" t="str">
        <f>'Task list'!C13</f>
        <v>   Requirements catalogue (MoSCoW)</v>
      </c>
      <c r="D13" s="13">
        <f>'Task list'!J13</f>
        <v>2026-03-19 00:00:00</v>
      </c>
      <c r="E13" s="13">
        <f>'Task list'!K13</f>
        <v>2026-03-24 00:00:00</v>
      </c>
      <c r="F13" s="6">
        <f>'Task list'!M13</f>
        <v>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3">
        <f>'Task list'!G13</f>
        <v>2026-03-19 00:00:00</v>
      </c>
      <c r="X13" s="13">
        <f>'Task list'!H13</f>
        <v>2026-03-24 00:00:00</v>
      </c>
      <c r="Y13" s="6">
        <f>'Task list'!N13</f>
        <v/>
      </c>
    </row>
    <row r="14" spans="1:25">
      <c r="A14" s="6">
        <f>'Task list'!A14</f>
        <v>9</v>
      </c>
      <c r="B14" s="6" t="str">
        <f>'Task list'!B14</f>
        <v>2.3</v>
      </c>
      <c r="C14" s="7" t="str">
        <f>'Task list'!C14</f>
        <v>   M2 Requirements signed off</v>
      </c>
      <c r="D14" s="13">
        <f>'Task list'!J14</f>
        <v>2026-03-24 00:00:00</v>
      </c>
      <c r="E14" s="13">
        <f>'Task list'!K14</f>
        <v>2026-03-24 00:00:00</v>
      </c>
      <c r="F14" s="6">
        <f>'Task list'!M14</f>
        <v>0</v>
      </c>
      <c r="G14" s="16">
        <f>IF(AND('Task list'!$K14&gt;=G$5,'Task list'!$K14&lt;G$5+7),"◆",IF(AND('Task list'!$H14&gt;=G$5,'Task list'!$H14&lt;G$5+7),"◇",""))</f>
        <v>0</v>
      </c>
      <c r="H14" s="16">
        <f>IF(AND('Task list'!$K14&gt;=H$5,'Task list'!$K14&lt;H$5+7),"◆",IF(AND('Task list'!$H14&gt;=H$5,'Task list'!$H14&lt;H$5+7),"◇",""))</f>
        <v>0</v>
      </c>
      <c r="I14" s="16">
        <f>IF(AND('Task list'!$K14&gt;=I$5,'Task list'!$K14&lt;I$5+7),"◆",IF(AND('Task list'!$H14&gt;=I$5,'Task list'!$H14&lt;I$5+7),"◇",""))</f>
        <v>0</v>
      </c>
      <c r="J14" s="16">
        <f>IF(AND('Task list'!$K14&gt;=J$5,'Task list'!$K14&lt;J$5+7),"◆",IF(AND('Task list'!$H14&gt;=J$5,'Task list'!$H14&lt;J$5+7),"◇",""))</f>
        <v>0</v>
      </c>
      <c r="K14" s="16">
        <f>IF(AND('Task list'!$K14&gt;=K$5,'Task list'!$K14&lt;K$5+7),"◆",IF(AND('Task list'!$H14&gt;=K$5,'Task list'!$H14&lt;K$5+7),"◇",""))</f>
        <v>0</v>
      </c>
      <c r="L14" s="16">
        <f>IF(AND('Task list'!$K14&gt;=L$5,'Task list'!$K14&lt;L$5+7),"◆",IF(AND('Task list'!$H14&gt;=L$5,'Task list'!$H14&lt;L$5+7),"◇",""))</f>
        <v>0</v>
      </c>
      <c r="M14" s="16">
        <f>IF(AND('Task list'!$K14&gt;=M$5,'Task list'!$K14&lt;M$5+7),"◆",IF(AND('Task list'!$H14&gt;=M$5,'Task list'!$H14&lt;M$5+7),"◇",""))</f>
        <v>0</v>
      </c>
      <c r="N14" s="16">
        <f>IF(AND('Task list'!$K14&gt;=N$5,'Task list'!$K14&lt;N$5+7),"◆",IF(AND('Task list'!$H14&gt;=N$5,'Task list'!$H14&lt;N$5+7),"◇",""))</f>
        <v>0</v>
      </c>
      <c r="O14" s="16">
        <f>IF(AND('Task list'!$K14&gt;=O$5,'Task list'!$K14&lt;O$5+7),"◆",IF(AND('Task list'!$H14&gt;=O$5,'Task list'!$H14&lt;O$5+7),"◇",""))</f>
        <v>0</v>
      </c>
      <c r="P14" s="16">
        <f>IF(AND('Task list'!$K14&gt;=P$5,'Task list'!$K14&lt;P$5+7),"◆",IF(AND('Task list'!$H14&gt;=P$5,'Task list'!$H14&lt;P$5+7),"◇",""))</f>
        <v>0</v>
      </c>
      <c r="Q14" s="16">
        <f>IF(AND('Task list'!$K14&gt;=Q$5,'Task list'!$K14&lt;Q$5+7),"◆",IF(AND('Task list'!$H14&gt;=Q$5,'Task list'!$H14&lt;Q$5+7),"◇",""))</f>
        <v>0</v>
      </c>
      <c r="R14" s="16">
        <f>IF(AND('Task list'!$K14&gt;=R$5,'Task list'!$K14&lt;R$5+7),"◆",IF(AND('Task list'!$H14&gt;=R$5,'Task list'!$H14&lt;R$5+7),"◇",""))</f>
        <v>0</v>
      </c>
      <c r="S14" s="16">
        <f>IF(AND('Task list'!$K14&gt;=S$5,'Task list'!$K14&lt;S$5+7),"◆",IF(AND('Task list'!$H14&gt;=S$5,'Task list'!$H14&lt;S$5+7),"◇",""))</f>
        <v>0</v>
      </c>
      <c r="T14" s="16">
        <f>IF(AND('Task list'!$K14&gt;=T$5,'Task list'!$K14&lt;T$5+7),"◆",IF(AND('Task list'!$H14&gt;=T$5,'Task list'!$H14&lt;T$5+7),"◇",""))</f>
        <v>0</v>
      </c>
      <c r="U14" s="16">
        <f>IF(AND('Task list'!$K14&gt;=U$5,'Task list'!$K14&lt;U$5+7),"◆",IF(AND('Task list'!$H14&gt;=U$5,'Task list'!$H14&lt;U$5+7),"◇",""))</f>
        <v>0</v>
      </c>
      <c r="V14" s="16">
        <f>IF(AND('Task list'!$K14&gt;=V$5,'Task list'!$K14&lt;V$5+7),"◆",IF(AND('Task list'!$H14&gt;=V$5,'Task list'!$H14&lt;V$5+7),"◇",""))</f>
        <v>0</v>
      </c>
      <c r="W14" s="13">
        <f>'Task list'!G14</f>
        <v>2026-03-24 00:00:00</v>
      </c>
      <c r="X14" s="13">
        <f>'Task list'!H14</f>
        <v>2026-03-24 00:00:00</v>
      </c>
      <c r="Y14" s="6" t="str">
        <f>'Task list'!N14</f>
        <v>Yes</v>
      </c>
    </row>
    <row r="15" spans="1:25">
      <c r="A15" s="6">
        <f>'Task list'!A15</f>
        <v>10</v>
      </c>
      <c r="B15" s="6" t="str">
        <f>'Task list'!B15</f>
        <v>2.4</v>
      </c>
      <c r="C15" s="7" t="str">
        <f>'Task list'!C15</f>
        <v>   Supplier shortlist, demos and scoring</v>
      </c>
      <c r="D15" s="13">
        <f>'Task list'!J15</f>
        <v>2026-03-25 00:00:00</v>
      </c>
      <c r="E15" s="13">
        <f>'Task list'!K15</f>
        <v>2026-04-07 00:00:00</v>
      </c>
      <c r="F15" s="6">
        <f>'Task list'!M15</f>
        <v>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3">
        <f>'Task list'!G15</f>
        <v>2026-03-25 00:00:00</v>
      </c>
      <c r="X15" s="13">
        <f>'Task list'!H15</f>
        <v>2026-04-07 00:00:00</v>
      </c>
      <c r="Y15" s="6">
        <f>'Task list'!N15</f>
        <v/>
      </c>
    </row>
    <row r="16" spans="1:25">
      <c r="A16" s="6">
        <f>'Task list'!A16</f>
        <v>11</v>
      </c>
      <c r="B16" s="6" t="str">
        <f>'Task list'!B16</f>
        <v>2.5</v>
      </c>
      <c r="C16" s="7" t="str">
        <f>'Task list'!C16</f>
        <v>   M3 Supplier selected and contract signed</v>
      </c>
      <c r="D16" s="13">
        <f>'Task list'!J16</f>
        <v>2026-04-07 00:00:00</v>
      </c>
      <c r="E16" s="13">
        <f>'Task list'!K16</f>
        <v>2026-04-07 00:00:00</v>
      </c>
      <c r="F16" s="6">
        <f>'Task list'!M16</f>
        <v>0</v>
      </c>
      <c r="G16" s="16">
        <f>IF(AND('Task list'!$K16&gt;=G$5,'Task list'!$K16&lt;G$5+7),"◆",IF(AND('Task list'!$H16&gt;=G$5,'Task list'!$H16&lt;G$5+7),"◇",""))</f>
        <v>0</v>
      </c>
      <c r="H16" s="16">
        <f>IF(AND('Task list'!$K16&gt;=H$5,'Task list'!$K16&lt;H$5+7),"◆",IF(AND('Task list'!$H16&gt;=H$5,'Task list'!$H16&lt;H$5+7),"◇",""))</f>
        <v>0</v>
      </c>
      <c r="I16" s="16">
        <f>IF(AND('Task list'!$K16&gt;=I$5,'Task list'!$K16&lt;I$5+7),"◆",IF(AND('Task list'!$H16&gt;=I$5,'Task list'!$H16&lt;I$5+7),"◇",""))</f>
        <v>0</v>
      </c>
      <c r="J16" s="16">
        <f>IF(AND('Task list'!$K16&gt;=J$5,'Task list'!$K16&lt;J$5+7),"◆",IF(AND('Task list'!$H16&gt;=J$5,'Task list'!$H16&lt;J$5+7),"◇",""))</f>
        <v>0</v>
      </c>
      <c r="K16" s="16">
        <f>IF(AND('Task list'!$K16&gt;=K$5,'Task list'!$K16&lt;K$5+7),"◆",IF(AND('Task list'!$H16&gt;=K$5,'Task list'!$H16&lt;K$5+7),"◇",""))</f>
        <v>0</v>
      </c>
      <c r="L16" s="16">
        <f>IF(AND('Task list'!$K16&gt;=L$5,'Task list'!$K16&lt;L$5+7),"◆",IF(AND('Task list'!$H16&gt;=L$5,'Task list'!$H16&lt;L$5+7),"◇",""))</f>
        <v>0</v>
      </c>
      <c r="M16" s="16">
        <f>IF(AND('Task list'!$K16&gt;=M$5,'Task list'!$K16&lt;M$5+7),"◆",IF(AND('Task list'!$H16&gt;=M$5,'Task list'!$H16&lt;M$5+7),"◇",""))</f>
        <v>0</v>
      </c>
      <c r="N16" s="16">
        <f>IF(AND('Task list'!$K16&gt;=N$5,'Task list'!$K16&lt;N$5+7),"◆",IF(AND('Task list'!$H16&gt;=N$5,'Task list'!$H16&lt;N$5+7),"◇",""))</f>
        <v>0</v>
      </c>
      <c r="O16" s="16">
        <f>IF(AND('Task list'!$K16&gt;=O$5,'Task list'!$K16&lt;O$5+7),"◆",IF(AND('Task list'!$H16&gt;=O$5,'Task list'!$H16&lt;O$5+7),"◇",""))</f>
        <v>0</v>
      </c>
      <c r="P16" s="16">
        <f>IF(AND('Task list'!$K16&gt;=P$5,'Task list'!$K16&lt;P$5+7),"◆",IF(AND('Task list'!$H16&gt;=P$5,'Task list'!$H16&lt;P$5+7),"◇",""))</f>
        <v>0</v>
      </c>
      <c r="Q16" s="16">
        <f>IF(AND('Task list'!$K16&gt;=Q$5,'Task list'!$K16&lt;Q$5+7),"◆",IF(AND('Task list'!$H16&gt;=Q$5,'Task list'!$H16&lt;Q$5+7),"◇",""))</f>
        <v>0</v>
      </c>
      <c r="R16" s="16">
        <f>IF(AND('Task list'!$K16&gt;=R$5,'Task list'!$K16&lt;R$5+7),"◆",IF(AND('Task list'!$H16&gt;=R$5,'Task list'!$H16&lt;R$5+7),"◇",""))</f>
        <v>0</v>
      </c>
      <c r="S16" s="16">
        <f>IF(AND('Task list'!$K16&gt;=S$5,'Task list'!$K16&lt;S$5+7),"◆",IF(AND('Task list'!$H16&gt;=S$5,'Task list'!$H16&lt;S$5+7),"◇",""))</f>
        <v>0</v>
      </c>
      <c r="T16" s="16">
        <f>IF(AND('Task list'!$K16&gt;=T$5,'Task list'!$K16&lt;T$5+7),"◆",IF(AND('Task list'!$H16&gt;=T$5,'Task list'!$H16&lt;T$5+7),"◇",""))</f>
        <v>0</v>
      </c>
      <c r="U16" s="16">
        <f>IF(AND('Task list'!$K16&gt;=U$5,'Task list'!$K16&lt;U$5+7),"◆",IF(AND('Task list'!$H16&gt;=U$5,'Task list'!$H16&lt;U$5+7),"◇",""))</f>
        <v>0</v>
      </c>
      <c r="V16" s="16">
        <f>IF(AND('Task list'!$K16&gt;=V$5,'Task list'!$K16&lt;V$5+7),"◆",IF(AND('Task list'!$H16&gt;=V$5,'Task list'!$H16&lt;V$5+7),"◇",""))</f>
        <v>0</v>
      </c>
      <c r="W16" s="13">
        <f>'Task list'!G16</f>
        <v>2026-04-07 00:00:00</v>
      </c>
      <c r="X16" s="13">
        <f>'Task list'!H16</f>
        <v>2026-04-07 00:00:00</v>
      </c>
      <c r="Y16" s="6" t="str">
        <f>'Task list'!N16</f>
        <v>Yes</v>
      </c>
    </row>
    <row r="17" spans="1:25">
      <c r="A17" s="10">
        <f>'Task list'!A17</f>
        <v>12</v>
      </c>
      <c r="B17" s="10" t="str">
        <f>'Task list'!B17</f>
        <v>3</v>
      </c>
      <c r="C17" s="5" t="str">
        <f>'Task list'!C17</f>
        <v>Design and configuration</v>
      </c>
      <c r="D17" s="12">
        <f>'Task list'!J17</f>
        <v>2026-04-08 00:00:00</v>
      </c>
      <c r="E17" s="12">
        <f>'Task list'!K17</f>
        <v>2026-05-12 00:00:00</v>
      </c>
      <c r="F17" s="10">
        <f>'Task list'!M17</f>
        <v>0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3">
        <f>'Task list'!G17</f>
        <v>2026-04-08 00:00:00</v>
      </c>
      <c r="X17" s="13">
        <f>'Task list'!H17</f>
        <v>2026-05-12 00:00:00</v>
      </c>
      <c r="Y17" s="6">
        <f>'Task list'!N17</f>
        <v/>
      </c>
    </row>
    <row r="18" spans="1:25">
      <c r="A18" s="6">
        <f>'Task list'!A18</f>
        <v>13</v>
      </c>
      <c r="B18" s="6" t="str">
        <f>'Task list'!B18</f>
        <v>3.1</v>
      </c>
      <c r="C18" s="7" t="str">
        <f>'Task list'!C18</f>
        <v>   Solution design and data model</v>
      </c>
      <c r="D18" s="13">
        <f>'Task list'!J18</f>
        <v>2026-04-08 00:00:00</v>
      </c>
      <c r="E18" s="13">
        <f>'Task list'!K18</f>
        <v>2026-04-14 00:00:00</v>
      </c>
      <c r="F18" s="6">
        <f>'Task list'!M18</f>
        <v>0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3">
        <f>'Task list'!G18</f>
        <v>2026-04-08 00:00:00</v>
      </c>
      <c r="X18" s="13">
        <f>'Task list'!H18</f>
        <v>2026-04-14 00:00:00</v>
      </c>
      <c r="Y18" s="6">
        <f>'Task list'!N18</f>
        <v/>
      </c>
    </row>
    <row r="19" spans="1:25">
      <c r="A19" s="6">
        <f>'Task list'!A19</f>
        <v>14</v>
      </c>
      <c r="B19" s="6" t="str">
        <f>'Task list'!B19</f>
        <v>3.2</v>
      </c>
      <c r="C19" s="7" t="str">
        <f>'Task list'!C19</f>
        <v>   Configure enquiries, quotes and pipeline</v>
      </c>
      <c r="D19" s="13">
        <f>'Task list'!J19</f>
        <v>2026-04-15 00:00:00</v>
      </c>
      <c r="E19" s="13">
        <f>'Task list'!K19</f>
        <v>2026-04-28 00:00:00</v>
      </c>
      <c r="F19" s="6">
        <f>'Task list'!M19</f>
        <v>0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3">
        <f>'Task list'!G19</f>
        <v>2026-04-15 00:00:00</v>
      </c>
      <c r="X19" s="13">
        <f>'Task list'!H19</f>
        <v>2026-04-28 00:00:00</v>
      </c>
      <c r="Y19" s="6">
        <f>'Task list'!N19</f>
        <v/>
      </c>
    </row>
    <row r="20" spans="1:25">
      <c r="A20" s="6">
        <f>'Task list'!A20</f>
        <v>15</v>
      </c>
      <c r="B20" s="6" t="str">
        <f>'Task list'!B20</f>
        <v>3.3</v>
      </c>
      <c r="C20" s="7" t="str">
        <f>'Task list'!C20</f>
        <v>   Configure jobs, scheduling and service reminders</v>
      </c>
      <c r="D20" s="13">
        <f>'Task list'!J20</f>
        <v>2026-04-29 00:00:00</v>
      </c>
      <c r="E20" s="13">
        <f>'Task list'!K20</f>
        <v>2026-05-07 00:00:00</v>
      </c>
      <c r="F20" s="6">
        <f>'Task list'!M20</f>
        <v>0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3">
        <f>'Task list'!G20</f>
        <v>2026-04-29 00:00:00</v>
      </c>
      <c r="X20" s="13">
        <f>'Task list'!H20</f>
        <v>2026-05-07 00:00:00</v>
      </c>
      <c r="Y20" s="6">
        <f>'Task list'!N20</f>
        <v/>
      </c>
    </row>
    <row r="21" spans="1:25">
      <c r="A21" s="6">
        <f>'Task list'!A21</f>
        <v>16</v>
      </c>
      <c r="B21" s="6" t="str">
        <f>'Task list'!B21</f>
        <v>3.4</v>
      </c>
      <c r="C21" s="7" t="str">
        <f>'Task list'!C21</f>
        <v>   Accounting and email integration</v>
      </c>
      <c r="D21" s="13">
        <f>'Task list'!J21</f>
        <v>2026-04-15 00:00:00</v>
      </c>
      <c r="E21" s="13">
        <f>'Task list'!K21</f>
        <v>2026-04-27 00:00:00</v>
      </c>
      <c r="F21" s="6">
        <f>'Task list'!M21</f>
        <v>0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3">
        <f>'Task list'!G21</f>
        <v>2026-04-15 00:00:00</v>
      </c>
      <c r="X21" s="13">
        <f>'Task list'!H21</f>
        <v>2026-04-22 00:00:00</v>
      </c>
      <c r="Y21" s="6">
        <f>'Task list'!N21</f>
        <v/>
      </c>
    </row>
    <row r="22" spans="1:25">
      <c r="A22" s="6">
        <f>'Task list'!A22</f>
        <v>17</v>
      </c>
      <c r="B22" s="6" t="str">
        <f>'Task list'!B22</f>
        <v>3.5</v>
      </c>
      <c r="C22" s="7" t="str">
        <f>'Task list'!C22</f>
        <v>   Field mobile app set-up and tablets</v>
      </c>
      <c r="D22" s="13">
        <f>'Task list'!J22</f>
        <v>2026-05-08 00:00:00</v>
      </c>
      <c r="E22" s="13">
        <f>'Task list'!K22</f>
        <v>2026-05-12 00:00:00</v>
      </c>
      <c r="F22" s="6">
        <f>'Task list'!M22</f>
        <v>0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3">
        <f>'Task list'!G22</f>
        <v>2026-05-08 00:00:00</v>
      </c>
      <c r="X22" s="13">
        <f>'Task list'!H22</f>
        <v>2026-05-12 00:00:00</v>
      </c>
      <c r="Y22" s="6">
        <f>'Task list'!N22</f>
        <v/>
      </c>
    </row>
    <row r="23" spans="1:25">
      <c r="A23" s="6">
        <f>'Task list'!A23</f>
        <v>18</v>
      </c>
      <c r="B23" s="6" t="str">
        <f>'Task list'!B23</f>
        <v>3.6</v>
      </c>
      <c r="C23" s="7" t="str">
        <f>'Task list'!C23</f>
        <v>   M4 Configuration complete</v>
      </c>
      <c r="D23" s="13">
        <f>'Task list'!J23</f>
        <v>2026-05-12 00:00:00</v>
      </c>
      <c r="E23" s="13">
        <f>'Task list'!K23</f>
        <v>2026-05-12 00:00:00</v>
      </c>
      <c r="F23" s="6">
        <f>'Task list'!M23</f>
        <v>0</v>
      </c>
      <c r="G23" s="16">
        <f>IF(AND('Task list'!$K23&gt;=G$5,'Task list'!$K23&lt;G$5+7),"◆",IF(AND('Task list'!$H23&gt;=G$5,'Task list'!$H23&lt;G$5+7),"◇",""))</f>
        <v>0</v>
      </c>
      <c r="H23" s="16">
        <f>IF(AND('Task list'!$K23&gt;=H$5,'Task list'!$K23&lt;H$5+7),"◆",IF(AND('Task list'!$H23&gt;=H$5,'Task list'!$H23&lt;H$5+7),"◇",""))</f>
        <v>0</v>
      </c>
      <c r="I23" s="16">
        <f>IF(AND('Task list'!$K23&gt;=I$5,'Task list'!$K23&lt;I$5+7),"◆",IF(AND('Task list'!$H23&gt;=I$5,'Task list'!$H23&lt;I$5+7),"◇",""))</f>
        <v>0</v>
      </c>
      <c r="J23" s="16">
        <f>IF(AND('Task list'!$K23&gt;=J$5,'Task list'!$K23&lt;J$5+7),"◆",IF(AND('Task list'!$H23&gt;=J$5,'Task list'!$H23&lt;J$5+7),"◇",""))</f>
        <v>0</v>
      </c>
      <c r="K23" s="16">
        <f>IF(AND('Task list'!$K23&gt;=K$5,'Task list'!$K23&lt;K$5+7),"◆",IF(AND('Task list'!$H23&gt;=K$5,'Task list'!$H23&lt;K$5+7),"◇",""))</f>
        <v>0</v>
      </c>
      <c r="L23" s="16">
        <f>IF(AND('Task list'!$K23&gt;=L$5,'Task list'!$K23&lt;L$5+7),"◆",IF(AND('Task list'!$H23&gt;=L$5,'Task list'!$H23&lt;L$5+7),"◇",""))</f>
        <v>0</v>
      </c>
      <c r="M23" s="16">
        <f>IF(AND('Task list'!$K23&gt;=M$5,'Task list'!$K23&lt;M$5+7),"◆",IF(AND('Task list'!$H23&gt;=M$5,'Task list'!$H23&lt;M$5+7),"◇",""))</f>
        <v>0</v>
      </c>
      <c r="N23" s="16">
        <f>IF(AND('Task list'!$K23&gt;=N$5,'Task list'!$K23&lt;N$5+7),"◆",IF(AND('Task list'!$H23&gt;=N$5,'Task list'!$H23&lt;N$5+7),"◇",""))</f>
        <v>0</v>
      </c>
      <c r="O23" s="16">
        <f>IF(AND('Task list'!$K23&gt;=O$5,'Task list'!$K23&lt;O$5+7),"◆",IF(AND('Task list'!$H23&gt;=O$5,'Task list'!$H23&lt;O$5+7),"◇",""))</f>
        <v>0</v>
      </c>
      <c r="P23" s="16">
        <f>IF(AND('Task list'!$K23&gt;=P$5,'Task list'!$K23&lt;P$5+7),"◆",IF(AND('Task list'!$H23&gt;=P$5,'Task list'!$H23&lt;P$5+7),"◇",""))</f>
        <v>0</v>
      </c>
      <c r="Q23" s="16">
        <f>IF(AND('Task list'!$K23&gt;=Q$5,'Task list'!$K23&lt;Q$5+7),"◆",IF(AND('Task list'!$H23&gt;=Q$5,'Task list'!$H23&lt;Q$5+7),"◇",""))</f>
        <v>0</v>
      </c>
      <c r="R23" s="16">
        <f>IF(AND('Task list'!$K23&gt;=R$5,'Task list'!$K23&lt;R$5+7),"◆",IF(AND('Task list'!$H23&gt;=R$5,'Task list'!$H23&lt;R$5+7),"◇",""))</f>
        <v>0</v>
      </c>
      <c r="S23" s="16">
        <f>IF(AND('Task list'!$K23&gt;=S$5,'Task list'!$K23&lt;S$5+7),"◆",IF(AND('Task list'!$H23&gt;=S$5,'Task list'!$H23&lt;S$5+7),"◇",""))</f>
        <v>0</v>
      </c>
      <c r="T23" s="16">
        <f>IF(AND('Task list'!$K23&gt;=T$5,'Task list'!$K23&lt;T$5+7),"◆",IF(AND('Task list'!$H23&gt;=T$5,'Task list'!$H23&lt;T$5+7),"◇",""))</f>
        <v>0</v>
      </c>
      <c r="U23" s="16">
        <f>IF(AND('Task list'!$K23&gt;=U$5,'Task list'!$K23&lt;U$5+7),"◆",IF(AND('Task list'!$H23&gt;=U$5,'Task list'!$H23&lt;U$5+7),"◇",""))</f>
        <v>0</v>
      </c>
      <c r="V23" s="16">
        <f>IF(AND('Task list'!$K23&gt;=V$5,'Task list'!$K23&lt;V$5+7),"◆",IF(AND('Task list'!$H23&gt;=V$5,'Task list'!$H23&lt;V$5+7),"◇",""))</f>
        <v>0</v>
      </c>
      <c r="W23" s="13">
        <f>'Task list'!G23</f>
        <v>2026-05-12 00:00:00</v>
      </c>
      <c r="X23" s="13">
        <f>'Task list'!H23</f>
        <v>2026-05-12 00:00:00</v>
      </c>
      <c r="Y23" s="6" t="str">
        <f>'Task list'!N23</f>
        <v>Yes</v>
      </c>
    </row>
    <row r="24" spans="1:25">
      <c r="A24" s="10">
        <f>'Task list'!A24</f>
        <v>19</v>
      </c>
      <c r="B24" s="10" t="str">
        <f>'Task list'!B24</f>
        <v>4</v>
      </c>
      <c r="C24" s="5" t="str">
        <f>'Task list'!C24</f>
        <v>Data migration</v>
      </c>
      <c r="D24" s="12">
        <f>'Task list'!J24</f>
        <v>2026-04-15 00:00:00</v>
      </c>
      <c r="E24" s="12">
        <f>'Task list'!K24</f>
        <v>2026-05-18 00:00:00</v>
      </c>
      <c r="F24" s="10">
        <f>'Task list'!M24</f>
        <v>0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3">
        <f>'Task list'!G24</f>
        <v>2026-04-15 00:00:00</v>
      </c>
      <c r="X24" s="13">
        <f>'Task list'!H24</f>
        <v>2026-05-12 00:00:00</v>
      </c>
      <c r="Y24" s="6">
        <f>'Task list'!N24</f>
        <v/>
      </c>
    </row>
    <row r="25" spans="1:25">
      <c r="A25" s="6">
        <f>'Task list'!A25</f>
        <v>20</v>
      </c>
      <c r="B25" s="6" t="str">
        <f>'Task list'!B25</f>
        <v>4.1</v>
      </c>
      <c r="C25" s="7" t="str">
        <f>'Task list'!C25</f>
        <v>   Data audit and cleansing</v>
      </c>
      <c r="D25" s="13">
        <f>'Task list'!J25</f>
        <v>2026-04-15 00:00:00</v>
      </c>
      <c r="E25" s="13">
        <f>'Task list'!K25</f>
        <v>2026-05-13 00:00:00</v>
      </c>
      <c r="F25" s="6">
        <f>'Task list'!M25</f>
        <v>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3">
        <f>'Task list'!G25</f>
        <v>2026-04-15 00:00:00</v>
      </c>
      <c r="X25" s="13">
        <f>'Task list'!H25</f>
        <v>2026-04-28 00:00:00</v>
      </c>
      <c r="Y25" s="6">
        <f>'Task list'!N25</f>
        <v/>
      </c>
    </row>
    <row r="26" spans="1:25">
      <c r="A26" s="6">
        <f>'Task list'!A26</f>
        <v>21</v>
      </c>
      <c r="B26" s="6" t="str">
        <f>'Task list'!B26</f>
        <v>4.2</v>
      </c>
      <c r="C26" s="7" t="str">
        <f>'Task list'!C26</f>
        <v>   Trial migration and reconciliation</v>
      </c>
      <c r="D26" s="13">
        <f>'Task list'!J26</f>
        <v>2026-05-14 00:00:00</v>
      </c>
      <c r="E26" s="13">
        <f>'Task list'!K26</f>
        <v>2026-05-18 00:00:00</v>
      </c>
      <c r="F26" s="6">
        <f>'Task list'!M26</f>
        <v>0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3">
        <f>'Task list'!G26</f>
        <v>2026-05-08 00:00:00</v>
      </c>
      <c r="X26" s="13">
        <f>'Task list'!H26</f>
        <v>2026-05-12 00:00:00</v>
      </c>
      <c r="Y26" s="6">
        <f>'Task list'!N26</f>
        <v/>
      </c>
    </row>
    <row r="27" spans="1:25">
      <c r="A27" s="10">
        <f>'Task list'!A27</f>
        <v>22</v>
      </c>
      <c r="B27" s="10" t="str">
        <f>'Task list'!B27</f>
        <v>5</v>
      </c>
      <c r="C27" s="5" t="str">
        <f>'Task list'!C27</f>
        <v>Testing</v>
      </c>
      <c r="D27" s="12">
        <f>'Task list'!J27</f>
        <v>2026-04-15 00:00:00</v>
      </c>
      <c r="E27" s="12">
        <f>'Task list'!K27</f>
        <v>2026-05-22 00:00:00</v>
      </c>
      <c r="F27" s="10">
        <f>'Task list'!M27</f>
        <v>0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3">
        <f>'Task list'!G27</f>
        <v>2026-04-15 00:00:00</v>
      </c>
      <c r="X27" s="13">
        <f>'Task list'!H27</f>
        <v>2026-05-18 00:00:00</v>
      </c>
      <c r="Y27" s="6">
        <f>'Task list'!N27</f>
        <v/>
      </c>
    </row>
    <row r="28" spans="1:25">
      <c r="A28" s="6">
        <f>'Task list'!A28</f>
        <v>23</v>
      </c>
      <c r="B28" s="6" t="str">
        <f>'Task list'!B28</f>
        <v>5.1</v>
      </c>
      <c r="C28" s="7" t="str">
        <f>'Task list'!C28</f>
        <v>   UAT scripts and test data</v>
      </c>
      <c r="D28" s="13">
        <f>'Task list'!J28</f>
        <v>2026-04-15 00:00:00</v>
      </c>
      <c r="E28" s="13">
        <f>'Task list'!K28</f>
        <v>2026-04-17 00:00:00</v>
      </c>
      <c r="F28" s="6">
        <f>'Task list'!M28</f>
        <v>0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3">
        <f>'Task list'!G28</f>
        <v>2026-04-15 00:00:00</v>
      </c>
      <c r="X28" s="13">
        <f>'Task list'!H28</f>
        <v>2026-04-17 00:00:00</v>
      </c>
      <c r="Y28" s="6">
        <f>'Task list'!N28</f>
        <v/>
      </c>
    </row>
    <row r="29" spans="1:25">
      <c r="A29" s="6">
        <f>'Task list'!A29</f>
        <v>24</v>
      </c>
      <c r="B29" s="6" t="str">
        <f>'Task list'!B29</f>
        <v>5.2</v>
      </c>
      <c r="C29" s="7" t="str">
        <f>'Task list'!C29</f>
        <v>   User acceptance testing</v>
      </c>
      <c r="D29" s="13">
        <f>'Task list'!J29</f>
        <v>2026-05-19 00:00:00</v>
      </c>
      <c r="E29" s="13">
        <f>'Task list'!K29</f>
        <v>2026-05-22 00:00:00</v>
      </c>
      <c r="F29" s="6">
        <f>'Task list'!M29</f>
        <v>0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3">
        <f>'Task list'!G29</f>
        <v>2026-05-13 00:00:00</v>
      </c>
      <c r="X29" s="13">
        <f>'Task list'!H29</f>
        <v>2026-05-18 00:00:00</v>
      </c>
      <c r="Y29" s="6">
        <f>'Task list'!N29</f>
        <v/>
      </c>
    </row>
    <row r="30" spans="1:25">
      <c r="A30" s="6">
        <f>'Task list'!A30</f>
        <v>25</v>
      </c>
      <c r="B30" s="6" t="str">
        <f>'Task list'!B30</f>
        <v>5.3</v>
      </c>
      <c r="C30" s="7" t="str">
        <f>'Task list'!C30</f>
        <v>   M5 Go/no-go decision</v>
      </c>
      <c r="D30" s="13">
        <f>'Task list'!J30</f>
        <v>2026-05-22 00:00:00</v>
      </c>
      <c r="E30" s="13">
        <f>'Task list'!K30</f>
        <v>2026-05-22 00:00:00</v>
      </c>
      <c r="F30" s="6">
        <f>'Task list'!M30</f>
        <v>0</v>
      </c>
      <c r="G30" s="16">
        <f>IF(AND('Task list'!$K30&gt;=G$5,'Task list'!$K30&lt;G$5+7),"◆",IF(AND('Task list'!$H30&gt;=G$5,'Task list'!$H30&lt;G$5+7),"◇",""))</f>
        <v>0</v>
      </c>
      <c r="H30" s="16">
        <f>IF(AND('Task list'!$K30&gt;=H$5,'Task list'!$K30&lt;H$5+7),"◆",IF(AND('Task list'!$H30&gt;=H$5,'Task list'!$H30&lt;H$5+7),"◇",""))</f>
        <v>0</v>
      </c>
      <c r="I30" s="16">
        <f>IF(AND('Task list'!$K30&gt;=I$5,'Task list'!$K30&lt;I$5+7),"◆",IF(AND('Task list'!$H30&gt;=I$5,'Task list'!$H30&lt;I$5+7),"◇",""))</f>
        <v>0</v>
      </c>
      <c r="J30" s="16">
        <f>IF(AND('Task list'!$K30&gt;=J$5,'Task list'!$K30&lt;J$5+7),"◆",IF(AND('Task list'!$H30&gt;=J$5,'Task list'!$H30&lt;J$5+7),"◇",""))</f>
        <v>0</v>
      </c>
      <c r="K30" s="16">
        <f>IF(AND('Task list'!$K30&gt;=K$5,'Task list'!$K30&lt;K$5+7),"◆",IF(AND('Task list'!$H30&gt;=K$5,'Task list'!$H30&lt;K$5+7),"◇",""))</f>
        <v>0</v>
      </c>
      <c r="L30" s="16">
        <f>IF(AND('Task list'!$K30&gt;=L$5,'Task list'!$K30&lt;L$5+7),"◆",IF(AND('Task list'!$H30&gt;=L$5,'Task list'!$H30&lt;L$5+7),"◇",""))</f>
        <v>0</v>
      </c>
      <c r="M30" s="16">
        <f>IF(AND('Task list'!$K30&gt;=M$5,'Task list'!$K30&lt;M$5+7),"◆",IF(AND('Task list'!$H30&gt;=M$5,'Task list'!$H30&lt;M$5+7),"◇",""))</f>
        <v>0</v>
      </c>
      <c r="N30" s="16">
        <f>IF(AND('Task list'!$K30&gt;=N$5,'Task list'!$K30&lt;N$5+7),"◆",IF(AND('Task list'!$H30&gt;=N$5,'Task list'!$H30&lt;N$5+7),"◇",""))</f>
        <v>0</v>
      </c>
      <c r="O30" s="16">
        <f>IF(AND('Task list'!$K30&gt;=O$5,'Task list'!$K30&lt;O$5+7),"◆",IF(AND('Task list'!$H30&gt;=O$5,'Task list'!$H30&lt;O$5+7),"◇",""))</f>
        <v>0</v>
      </c>
      <c r="P30" s="16">
        <f>IF(AND('Task list'!$K30&gt;=P$5,'Task list'!$K30&lt;P$5+7),"◆",IF(AND('Task list'!$H30&gt;=P$5,'Task list'!$H30&lt;P$5+7),"◇",""))</f>
        <v>0</v>
      </c>
      <c r="Q30" s="16">
        <f>IF(AND('Task list'!$K30&gt;=Q$5,'Task list'!$K30&lt;Q$5+7),"◆",IF(AND('Task list'!$H30&gt;=Q$5,'Task list'!$H30&lt;Q$5+7),"◇",""))</f>
        <v>0</v>
      </c>
      <c r="R30" s="16">
        <f>IF(AND('Task list'!$K30&gt;=R$5,'Task list'!$K30&lt;R$5+7),"◆",IF(AND('Task list'!$H30&gt;=R$5,'Task list'!$H30&lt;R$5+7),"◇",""))</f>
        <v>0</v>
      </c>
      <c r="S30" s="16">
        <f>IF(AND('Task list'!$K30&gt;=S$5,'Task list'!$K30&lt;S$5+7),"◆",IF(AND('Task list'!$H30&gt;=S$5,'Task list'!$H30&lt;S$5+7),"◇",""))</f>
        <v>0</v>
      </c>
      <c r="T30" s="16">
        <f>IF(AND('Task list'!$K30&gt;=T$5,'Task list'!$K30&lt;T$5+7),"◆",IF(AND('Task list'!$H30&gt;=T$5,'Task list'!$H30&lt;T$5+7),"◇",""))</f>
        <v>0</v>
      </c>
      <c r="U30" s="16">
        <f>IF(AND('Task list'!$K30&gt;=U$5,'Task list'!$K30&lt;U$5+7),"◆",IF(AND('Task list'!$H30&gt;=U$5,'Task list'!$H30&lt;U$5+7),"◇",""))</f>
        <v>0</v>
      </c>
      <c r="V30" s="16">
        <f>IF(AND('Task list'!$K30&gt;=V$5,'Task list'!$K30&lt;V$5+7),"◆",IF(AND('Task list'!$H30&gt;=V$5,'Task list'!$H30&lt;V$5+7),"◇",""))</f>
        <v>0</v>
      </c>
      <c r="W30" s="13">
        <f>'Task list'!G30</f>
        <v>2026-05-18 00:00:00</v>
      </c>
      <c r="X30" s="13">
        <f>'Task list'!H30</f>
        <v>2026-05-18 00:00:00</v>
      </c>
      <c r="Y30" s="6" t="str">
        <f>'Task list'!N30</f>
        <v>Yes</v>
      </c>
    </row>
    <row r="31" spans="1:25">
      <c r="A31" s="10">
        <f>'Task list'!A31</f>
        <v>26</v>
      </c>
      <c r="B31" s="10" t="str">
        <f>'Task list'!B31</f>
        <v>6</v>
      </c>
      <c r="C31" s="5" t="str">
        <f>'Task list'!C31</f>
        <v>Training and change</v>
      </c>
      <c r="D31" s="12">
        <f>'Task list'!J31</f>
        <v>2026-03-25 00:00:00</v>
      </c>
      <c r="E31" s="12">
        <f>'Task list'!K31</f>
        <v>2026-05-15 00:00:00</v>
      </c>
      <c r="F31" s="10">
        <f>'Task list'!M31</f>
        <v>0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3">
        <f>'Task list'!G31</f>
        <v>2026-03-25 00:00:00</v>
      </c>
      <c r="X31" s="13">
        <f>'Task list'!H31</f>
        <v>2026-05-15 00:00:00</v>
      </c>
      <c r="Y31" s="6">
        <f>'Task list'!N31</f>
        <v/>
      </c>
    </row>
    <row r="32" spans="1:25">
      <c r="A32" s="6">
        <f>'Task list'!A32</f>
        <v>27</v>
      </c>
      <c r="B32" s="6" t="str">
        <f>'Task list'!B32</f>
        <v>6.1</v>
      </c>
      <c r="C32" s="7" t="str">
        <f>'Task list'!C32</f>
        <v>   Change impact assessment and champions network</v>
      </c>
      <c r="D32" s="13">
        <f>'Task list'!J32</f>
        <v>2026-03-25 00:00:00</v>
      </c>
      <c r="E32" s="13">
        <f>'Task list'!K32</f>
        <v>2026-03-27 00:00:00</v>
      </c>
      <c r="F32" s="6">
        <f>'Task list'!M32</f>
        <v>0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3">
        <f>'Task list'!G32</f>
        <v>2026-03-25 00:00:00</v>
      </c>
      <c r="X32" s="13">
        <f>'Task list'!H32</f>
        <v>2026-03-27 00:00:00</v>
      </c>
      <c r="Y32" s="6">
        <f>'Task list'!N32</f>
        <v/>
      </c>
    </row>
    <row r="33" spans="1:25">
      <c r="A33" s="6">
        <f>'Task list'!A33</f>
        <v>28</v>
      </c>
      <c r="B33" s="6" t="str">
        <f>'Task list'!B33</f>
        <v>6.2</v>
      </c>
      <c r="C33" s="7" t="str">
        <f>'Task list'!C33</f>
        <v>   Training materials and quick-reference guides</v>
      </c>
      <c r="D33" s="13">
        <f>'Task list'!J33</f>
        <v>2026-05-08 00:00:00</v>
      </c>
      <c r="E33" s="13">
        <f>'Task list'!K33</f>
        <v>2026-05-13 00:00:00</v>
      </c>
      <c r="F33" s="6">
        <f>'Task list'!M33</f>
        <v>0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3">
        <f>'Task list'!G33</f>
        <v>2026-05-08 00:00:00</v>
      </c>
      <c r="X33" s="13">
        <f>'Task list'!H33</f>
        <v>2026-05-13 00:00:00</v>
      </c>
      <c r="Y33" s="6">
        <f>'Task list'!N33</f>
        <v/>
      </c>
    </row>
    <row r="34" spans="1:25">
      <c r="A34" s="6">
        <f>'Task list'!A34</f>
        <v>29</v>
      </c>
      <c r="B34" s="6" t="str">
        <f>'Task list'!B34</f>
        <v>6.3</v>
      </c>
      <c r="C34" s="7" t="str">
        <f>'Task list'!C34</f>
        <v>   Office team training</v>
      </c>
      <c r="D34" s="13">
        <f>'Task list'!J34</f>
        <v>2026-05-14 00:00:00</v>
      </c>
      <c r="E34" s="13">
        <f>'Task list'!K34</f>
        <v>2026-05-15 00:00:00</v>
      </c>
      <c r="F34" s="6">
        <f>'Task list'!M34</f>
        <v>0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3">
        <f>'Task list'!G34</f>
        <v>2026-05-14 00:00:00</v>
      </c>
      <c r="X34" s="13">
        <f>'Task list'!H34</f>
        <v>2026-05-15 00:00:00</v>
      </c>
      <c r="Y34" s="6">
        <f>'Task list'!N34</f>
        <v/>
      </c>
    </row>
    <row r="35" spans="1:25">
      <c r="A35" s="6">
        <f>'Task list'!A35</f>
        <v>30</v>
      </c>
      <c r="B35" s="6" t="str">
        <f>'Task list'!B35</f>
        <v>6.4</v>
      </c>
      <c r="C35" s="7" t="str">
        <f>'Task list'!C35</f>
        <v>   Field engineer training (two sessions)</v>
      </c>
      <c r="D35" s="13">
        <f>'Task list'!J35</f>
        <v>2026-05-14 00:00:00</v>
      </c>
      <c r="E35" s="13">
        <f>'Task list'!K35</f>
        <v>2026-05-15 00:00:00</v>
      </c>
      <c r="F35" s="6">
        <f>'Task list'!M35</f>
        <v>0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3">
        <f>'Task list'!G35</f>
        <v>2026-05-14 00:00:00</v>
      </c>
      <c r="X35" s="13">
        <f>'Task list'!H35</f>
        <v>2026-05-15 00:00:00</v>
      </c>
      <c r="Y35" s="6">
        <f>'Task list'!N35</f>
        <v/>
      </c>
    </row>
    <row r="36" spans="1:25">
      <c r="A36" s="10">
        <f>'Task list'!A36</f>
        <v>31</v>
      </c>
      <c r="B36" s="10" t="str">
        <f>'Task list'!B36</f>
        <v>7</v>
      </c>
      <c r="C36" s="5" t="str">
        <f>'Task list'!C36</f>
        <v>Deployment</v>
      </c>
      <c r="D36" s="12">
        <f>'Task list'!J36</f>
        <v>2026-05-26 00:00:00</v>
      </c>
      <c r="E36" s="12">
        <f>'Task list'!K36</f>
        <v>2026-06-10 00:00:00</v>
      </c>
      <c r="F36" s="10">
        <f>'Task list'!M36</f>
        <v>0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3">
        <f>'Task list'!G36</f>
        <v>2026-05-19 00:00:00</v>
      </c>
      <c r="X36" s="13">
        <f>'Task list'!H36</f>
        <v>2026-06-04 00:00:00</v>
      </c>
      <c r="Y36" s="6">
        <f>'Task list'!N36</f>
        <v/>
      </c>
    </row>
    <row r="37" spans="1:25">
      <c r="A37" s="6">
        <f>'Task list'!A37</f>
        <v>32</v>
      </c>
      <c r="B37" s="6" t="str">
        <f>'Task list'!B37</f>
        <v>7.1</v>
      </c>
      <c r="C37" s="7" t="str">
        <f>'Task list'!C37</f>
        <v>   Final data migration and cut-over</v>
      </c>
      <c r="D37" s="13">
        <f>'Task list'!J37</f>
        <v>2026-05-26 00:00:00</v>
      </c>
      <c r="E37" s="13">
        <f>'Task list'!K37</f>
        <v>2026-05-27 00:00:00</v>
      </c>
      <c r="F37" s="6">
        <f>'Task list'!M37</f>
        <v>0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3">
        <f>'Task list'!G37</f>
        <v>2026-05-19 00:00:00</v>
      </c>
      <c r="X37" s="13">
        <f>'Task list'!H37</f>
        <v>2026-05-20 00:00:00</v>
      </c>
      <c r="Y37" s="6">
        <f>'Task list'!N37</f>
        <v/>
      </c>
    </row>
    <row r="38" spans="1:25">
      <c r="A38" s="6">
        <f>'Task list'!A38</f>
        <v>33</v>
      </c>
      <c r="B38" s="6" t="str">
        <f>'Task list'!B38</f>
        <v>7.2</v>
      </c>
      <c r="C38" s="7" t="str">
        <f>'Task list'!C38</f>
        <v>   M6 Go-live</v>
      </c>
      <c r="D38" s="13">
        <f>'Task list'!J38</f>
        <v>2026-05-27 00:00:00</v>
      </c>
      <c r="E38" s="13">
        <f>'Task list'!K38</f>
        <v>2026-05-27 00:00:00</v>
      </c>
      <c r="F38" s="6">
        <f>'Task list'!M38</f>
        <v>0</v>
      </c>
      <c r="G38" s="16">
        <f>IF(AND('Task list'!$K38&gt;=G$5,'Task list'!$K38&lt;G$5+7),"◆",IF(AND('Task list'!$H38&gt;=G$5,'Task list'!$H38&lt;G$5+7),"◇",""))</f>
        <v>0</v>
      </c>
      <c r="H38" s="16">
        <f>IF(AND('Task list'!$K38&gt;=H$5,'Task list'!$K38&lt;H$5+7),"◆",IF(AND('Task list'!$H38&gt;=H$5,'Task list'!$H38&lt;H$5+7),"◇",""))</f>
        <v>0</v>
      </c>
      <c r="I38" s="16">
        <f>IF(AND('Task list'!$K38&gt;=I$5,'Task list'!$K38&lt;I$5+7),"◆",IF(AND('Task list'!$H38&gt;=I$5,'Task list'!$H38&lt;I$5+7),"◇",""))</f>
        <v>0</v>
      </c>
      <c r="J38" s="16">
        <f>IF(AND('Task list'!$K38&gt;=J$5,'Task list'!$K38&lt;J$5+7),"◆",IF(AND('Task list'!$H38&gt;=J$5,'Task list'!$H38&lt;J$5+7),"◇",""))</f>
        <v>0</v>
      </c>
      <c r="K38" s="16">
        <f>IF(AND('Task list'!$K38&gt;=K$5,'Task list'!$K38&lt;K$5+7),"◆",IF(AND('Task list'!$H38&gt;=K$5,'Task list'!$H38&lt;K$5+7),"◇",""))</f>
        <v>0</v>
      </c>
      <c r="L38" s="16">
        <f>IF(AND('Task list'!$K38&gt;=L$5,'Task list'!$K38&lt;L$5+7),"◆",IF(AND('Task list'!$H38&gt;=L$5,'Task list'!$H38&lt;L$5+7),"◇",""))</f>
        <v>0</v>
      </c>
      <c r="M38" s="16">
        <f>IF(AND('Task list'!$K38&gt;=M$5,'Task list'!$K38&lt;M$5+7),"◆",IF(AND('Task list'!$H38&gt;=M$5,'Task list'!$H38&lt;M$5+7),"◇",""))</f>
        <v>0</v>
      </c>
      <c r="N38" s="16">
        <f>IF(AND('Task list'!$K38&gt;=N$5,'Task list'!$K38&lt;N$5+7),"◆",IF(AND('Task list'!$H38&gt;=N$5,'Task list'!$H38&lt;N$5+7),"◇",""))</f>
        <v>0</v>
      </c>
      <c r="O38" s="16">
        <f>IF(AND('Task list'!$K38&gt;=O$5,'Task list'!$K38&lt;O$5+7),"◆",IF(AND('Task list'!$H38&gt;=O$5,'Task list'!$H38&lt;O$5+7),"◇",""))</f>
        <v>0</v>
      </c>
      <c r="P38" s="16">
        <f>IF(AND('Task list'!$K38&gt;=P$5,'Task list'!$K38&lt;P$5+7),"◆",IF(AND('Task list'!$H38&gt;=P$5,'Task list'!$H38&lt;P$5+7),"◇",""))</f>
        <v>0</v>
      </c>
      <c r="Q38" s="16">
        <f>IF(AND('Task list'!$K38&gt;=Q$5,'Task list'!$K38&lt;Q$5+7),"◆",IF(AND('Task list'!$H38&gt;=Q$5,'Task list'!$H38&lt;Q$5+7),"◇",""))</f>
        <v>0</v>
      </c>
      <c r="R38" s="16">
        <f>IF(AND('Task list'!$K38&gt;=R$5,'Task list'!$K38&lt;R$5+7),"◆",IF(AND('Task list'!$H38&gt;=R$5,'Task list'!$H38&lt;R$5+7),"◇",""))</f>
        <v>0</v>
      </c>
      <c r="S38" s="16">
        <f>IF(AND('Task list'!$K38&gt;=S$5,'Task list'!$K38&lt;S$5+7),"◆",IF(AND('Task list'!$H38&gt;=S$5,'Task list'!$H38&lt;S$5+7),"◇",""))</f>
        <v>0</v>
      </c>
      <c r="T38" s="16">
        <f>IF(AND('Task list'!$K38&gt;=T$5,'Task list'!$K38&lt;T$5+7),"◆",IF(AND('Task list'!$H38&gt;=T$5,'Task list'!$H38&lt;T$5+7),"◇",""))</f>
        <v>0</v>
      </c>
      <c r="U38" s="16">
        <f>IF(AND('Task list'!$K38&gt;=U$5,'Task list'!$K38&lt;U$5+7),"◆",IF(AND('Task list'!$H38&gt;=U$5,'Task list'!$H38&lt;U$5+7),"◇",""))</f>
        <v>0</v>
      </c>
      <c r="V38" s="16">
        <f>IF(AND('Task list'!$K38&gt;=V$5,'Task list'!$K38&lt;V$5+7),"◆",IF(AND('Task list'!$H38&gt;=V$5,'Task list'!$H38&lt;V$5+7),"◇",""))</f>
        <v>0</v>
      </c>
      <c r="W38" s="13">
        <f>'Task list'!G38</f>
        <v>2026-05-20 00:00:00</v>
      </c>
      <c r="X38" s="13">
        <f>'Task list'!H38</f>
        <v>2026-05-20 00:00:00</v>
      </c>
      <c r="Y38" s="6" t="str">
        <f>'Task list'!N38</f>
        <v>Yes</v>
      </c>
    </row>
    <row r="39" spans="1:25">
      <c r="A39" s="6">
        <f>'Task list'!A39</f>
        <v>34</v>
      </c>
      <c r="B39" s="6" t="str">
        <f>'Task list'!B39</f>
        <v>7.3</v>
      </c>
      <c r="C39" s="7" t="str">
        <f>'Task list'!C39</f>
        <v>   Hypercare support</v>
      </c>
      <c r="D39" s="13">
        <f>'Task list'!J39</f>
        <v>2026-05-28 00:00:00</v>
      </c>
      <c r="E39" s="13">
        <f>'Task list'!K39</f>
        <v>2026-06-10 00:00:00</v>
      </c>
      <c r="F39" s="6">
        <f>'Task list'!M39</f>
        <v>0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3">
        <f>'Task list'!G39</f>
        <v>2026-05-21 00:00:00</v>
      </c>
      <c r="X39" s="13">
        <f>'Task list'!H39</f>
        <v>2026-06-04 00:00:00</v>
      </c>
      <c r="Y39" s="6">
        <f>'Task list'!N39</f>
        <v/>
      </c>
    </row>
    <row r="40" spans="1:25">
      <c r="A40" s="10">
        <f>'Task list'!A40</f>
        <v>35</v>
      </c>
      <c r="B40" s="10" t="str">
        <f>'Task list'!B40</f>
        <v>8</v>
      </c>
      <c r="C40" s="5" t="str">
        <f>'Task list'!C40</f>
        <v>Closure</v>
      </c>
      <c r="D40" s="12">
        <f>'Task list'!J40</f>
        <v>2026-06-11 00:00:00</v>
      </c>
      <c r="E40" s="12">
        <f>'Task list'!K40</f>
        <v>2026-06-16 00:00:00</v>
      </c>
      <c r="F40" s="10">
        <f>'Task list'!M40</f>
        <v>0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3">
        <f>'Task list'!G40</f>
        <v>2026-06-05 00:00:00</v>
      </c>
      <c r="X40" s="13">
        <f>'Task list'!H40</f>
        <v>2026-06-10 00:00:00</v>
      </c>
      <c r="Y40" s="6">
        <f>'Task list'!N40</f>
        <v/>
      </c>
    </row>
    <row r="41" spans="1:25">
      <c r="A41" s="6">
        <f>'Task list'!A41</f>
        <v>36</v>
      </c>
      <c r="B41" s="6" t="str">
        <f>'Task list'!B41</f>
        <v>8.1</v>
      </c>
      <c r="C41" s="7" t="str">
        <f>'Task list'!C41</f>
        <v>   Lessons learned workshop</v>
      </c>
      <c r="D41" s="13">
        <f>'Task list'!J41</f>
        <v>2026-06-11 00:00:00</v>
      </c>
      <c r="E41" s="13">
        <f>'Task list'!K41</f>
        <v>2026-06-11 00:00:00</v>
      </c>
      <c r="F41" s="6">
        <f>'Task list'!M41</f>
        <v>0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3">
        <f>'Task list'!G41</f>
        <v>2026-06-05 00:00:00</v>
      </c>
      <c r="X41" s="13">
        <f>'Task list'!H41</f>
        <v>2026-06-05 00:00:00</v>
      </c>
      <c r="Y41" s="6">
        <f>'Task list'!N41</f>
        <v/>
      </c>
    </row>
    <row r="42" spans="1:25">
      <c r="A42" s="6">
        <f>'Task list'!A42</f>
        <v>37</v>
      </c>
      <c r="B42" s="6" t="str">
        <f>'Task list'!B42</f>
        <v>8.2</v>
      </c>
      <c r="C42" s="7" t="str">
        <f>'Task list'!C42</f>
        <v>   Closure report and handover to business as usual</v>
      </c>
      <c r="D42" s="13">
        <f>'Task list'!J42</f>
        <v>2026-06-12 00:00:00</v>
      </c>
      <c r="E42" s="13">
        <f>'Task list'!K42</f>
        <v>2026-06-16 00:00:00</v>
      </c>
      <c r="F42" s="6">
        <f>'Task list'!M42</f>
        <v>0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3">
        <f>'Task list'!G42</f>
        <v>2026-06-08 00:00:00</v>
      </c>
      <c r="X42" s="13">
        <f>'Task list'!H42</f>
        <v>2026-06-10 00:00:00</v>
      </c>
      <c r="Y42" s="6">
        <f>'Task list'!N42</f>
        <v/>
      </c>
    </row>
    <row r="43" spans="1:25">
      <c r="A43" s="6">
        <f>'Task list'!A43</f>
        <v>38</v>
      </c>
      <c r="B43" s="6" t="str">
        <f>'Task list'!B43</f>
        <v>8.3</v>
      </c>
      <c r="C43" s="7" t="str">
        <f>'Task list'!C43</f>
        <v>   M7 Project closed</v>
      </c>
      <c r="D43" s="13">
        <f>'Task list'!J43</f>
        <v>2026-06-16 00:00:00</v>
      </c>
      <c r="E43" s="13">
        <f>'Task list'!K43</f>
        <v>2026-06-16 00:00:00</v>
      </c>
      <c r="F43" s="6">
        <f>'Task list'!M43</f>
        <v>0</v>
      </c>
      <c r="G43" s="16">
        <f>IF(AND('Task list'!$K43&gt;=G$5,'Task list'!$K43&lt;G$5+7),"◆",IF(AND('Task list'!$H43&gt;=G$5,'Task list'!$H43&lt;G$5+7),"◇",""))</f>
        <v>0</v>
      </c>
      <c r="H43" s="16">
        <f>IF(AND('Task list'!$K43&gt;=H$5,'Task list'!$K43&lt;H$5+7),"◆",IF(AND('Task list'!$H43&gt;=H$5,'Task list'!$H43&lt;H$5+7),"◇",""))</f>
        <v>0</v>
      </c>
      <c r="I43" s="16">
        <f>IF(AND('Task list'!$K43&gt;=I$5,'Task list'!$K43&lt;I$5+7),"◆",IF(AND('Task list'!$H43&gt;=I$5,'Task list'!$H43&lt;I$5+7),"◇",""))</f>
        <v>0</v>
      </c>
      <c r="J43" s="16">
        <f>IF(AND('Task list'!$K43&gt;=J$5,'Task list'!$K43&lt;J$5+7),"◆",IF(AND('Task list'!$H43&gt;=J$5,'Task list'!$H43&lt;J$5+7),"◇",""))</f>
        <v>0</v>
      </c>
      <c r="K43" s="16">
        <f>IF(AND('Task list'!$K43&gt;=K$5,'Task list'!$K43&lt;K$5+7),"◆",IF(AND('Task list'!$H43&gt;=K$5,'Task list'!$H43&lt;K$5+7),"◇",""))</f>
        <v>0</v>
      </c>
      <c r="L43" s="16">
        <f>IF(AND('Task list'!$K43&gt;=L$5,'Task list'!$K43&lt;L$5+7),"◆",IF(AND('Task list'!$H43&gt;=L$5,'Task list'!$H43&lt;L$5+7),"◇",""))</f>
        <v>0</v>
      </c>
      <c r="M43" s="16">
        <f>IF(AND('Task list'!$K43&gt;=M$5,'Task list'!$K43&lt;M$5+7),"◆",IF(AND('Task list'!$H43&gt;=M$5,'Task list'!$H43&lt;M$5+7),"◇",""))</f>
        <v>0</v>
      </c>
      <c r="N43" s="16">
        <f>IF(AND('Task list'!$K43&gt;=N$5,'Task list'!$K43&lt;N$5+7),"◆",IF(AND('Task list'!$H43&gt;=N$5,'Task list'!$H43&lt;N$5+7),"◇",""))</f>
        <v>0</v>
      </c>
      <c r="O43" s="16">
        <f>IF(AND('Task list'!$K43&gt;=O$5,'Task list'!$K43&lt;O$5+7),"◆",IF(AND('Task list'!$H43&gt;=O$5,'Task list'!$H43&lt;O$5+7),"◇",""))</f>
        <v>0</v>
      </c>
      <c r="P43" s="16">
        <f>IF(AND('Task list'!$K43&gt;=P$5,'Task list'!$K43&lt;P$5+7),"◆",IF(AND('Task list'!$H43&gt;=P$5,'Task list'!$H43&lt;P$5+7),"◇",""))</f>
        <v>0</v>
      </c>
      <c r="Q43" s="16">
        <f>IF(AND('Task list'!$K43&gt;=Q$5,'Task list'!$K43&lt;Q$5+7),"◆",IF(AND('Task list'!$H43&gt;=Q$5,'Task list'!$H43&lt;Q$5+7),"◇",""))</f>
        <v>0</v>
      </c>
      <c r="R43" s="16">
        <f>IF(AND('Task list'!$K43&gt;=R$5,'Task list'!$K43&lt;R$5+7),"◆",IF(AND('Task list'!$H43&gt;=R$5,'Task list'!$H43&lt;R$5+7),"◇",""))</f>
        <v>0</v>
      </c>
      <c r="S43" s="16">
        <f>IF(AND('Task list'!$K43&gt;=S$5,'Task list'!$K43&lt;S$5+7),"◆",IF(AND('Task list'!$H43&gt;=S$5,'Task list'!$H43&lt;S$5+7),"◇",""))</f>
        <v>0</v>
      </c>
      <c r="T43" s="16">
        <f>IF(AND('Task list'!$K43&gt;=T$5,'Task list'!$K43&lt;T$5+7),"◆",IF(AND('Task list'!$H43&gt;=T$5,'Task list'!$H43&lt;T$5+7),"◇",""))</f>
        <v>0</v>
      </c>
      <c r="U43" s="16">
        <f>IF(AND('Task list'!$K43&gt;=U$5,'Task list'!$K43&lt;U$5+7),"◆",IF(AND('Task list'!$H43&gt;=U$5,'Task list'!$H43&lt;U$5+7),"◇",""))</f>
        <v>0</v>
      </c>
      <c r="V43" s="16">
        <f>IF(AND('Task list'!$K43&gt;=V$5,'Task list'!$K43&lt;V$5+7),"◆",IF(AND('Task list'!$H43&gt;=V$5,'Task list'!$H43&lt;V$5+7),"◇",""))</f>
        <v>0</v>
      </c>
      <c r="W43" s="13">
        <f>'Task list'!G43</f>
        <v>2026-06-10 00:00:00</v>
      </c>
      <c r="X43" s="13">
        <f>'Task list'!H43</f>
        <v>2026-06-10 00:00:00</v>
      </c>
      <c r="Y43" s="6" t="str">
        <f>'Task list'!N43</f>
        <v>Yes</v>
      </c>
    </row>
    <row r="45" spans="1:25">
      <c r="C45" s="14" t="s">
        <v>184</v>
      </c>
      <c r="P45" s="17" t="s">
        <v>185</v>
      </c>
    </row>
    <row r="46" spans="1:25">
      <c r="C46" s="14" t="s">
        <v>186</v>
      </c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</sheetData>
  <mergeCells count="2">
    <mergeCell ref="A1:V1"/>
    <mergeCell ref="C46:N46"/>
  </mergeCells>
  <conditionalFormatting sqref="G6:V43">
    <cfRule type="expression" dxfId="2" priority="1" stopIfTrue="1">
      <formula>AND(LEN($B6)=1,$D6&lt;G$5+7,$E6&gt;=G$5)</formula>
    </cfRule>
    <cfRule type="expression" dxfId="3" priority="2" stopIfTrue="1">
      <formula>AND($Y6&lt;&gt;"Yes",$D6&lt;G$5+7,$E6&gt;=G$5)</formula>
    </cfRule>
    <cfRule type="expression" dxfId="4" priority="3">
      <formula>AND($Y6&lt;&gt;"Yes",LEN($B6)&gt;1,$W6&lt;G$5+7,$X6&gt;=G$5)</formula>
    </cfRule>
  </conditionalFormatting>
  <pageMargins left="0.4" right="0.4" top="0.6" bottom="0.6" header="0.3" footer="0.3"/>
  <pageSetup paperSize="9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showGridLines="0" workbookViewId="0"/>
  </sheetViews>
  <sheetFormatPr defaultRowHeight="15"/>
  <cols>
    <col min="1" max="1" width="6.7109375" customWidth="1"/>
    <col min="2" max="2" width="44.7109375" customWidth="1"/>
    <col min="3" max="3" width="18.7109375" customWidth="1"/>
    <col min="4" max="5" width="14.7109375" customWidth="1"/>
    <col min="6" max="6" width="12.7109375" customWidth="1"/>
  </cols>
  <sheetData>
    <row r="1" spans="1:6" ht="34" customHeight="1">
      <c r="A1" s="1" t="s">
        <v>0</v>
      </c>
      <c r="B1" s="1"/>
      <c r="C1" s="1"/>
      <c r="D1" s="1"/>
      <c r="E1" s="1"/>
      <c r="F1" s="1"/>
    </row>
    <row r="2" spans="1:6" ht="24" customHeight="1">
      <c r="A2" s="2" t="s">
        <v>187</v>
      </c>
    </row>
    <row r="5" spans="1:6" ht="28" customHeight="1">
      <c r="A5" s="4" t="s">
        <v>11</v>
      </c>
      <c r="B5" s="4" t="s">
        <v>28</v>
      </c>
      <c r="C5" s="4" t="s">
        <v>188</v>
      </c>
      <c r="D5" s="4" t="s">
        <v>189</v>
      </c>
      <c r="E5" s="4" t="s">
        <v>190</v>
      </c>
      <c r="F5" s="4" t="s">
        <v>191</v>
      </c>
    </row>
    <row r="6" spans="1:6">
      <c r="A6" s="6" t="s">
        <v>26</v>
      </c>
      <c r="B6" s="9" t="s">
        <v>192</v>
      </c>
      <c r="C6" s="7" t="s">
        <v>29</v>
      </c>
      <c r="D6" s="13">
        <v>46092</v>
      </c>
      <c r="E6" s="13">
        <v>46092</v>
      </c>
      <c r="F6" s="18">
        <f>IF(E6&gt;=D6,NETWORKDAYS(D6,E6,Holidays)-1,-(NETWORKDAYS(E6,D6,Holidays)-1))</f>
        <v>0</v>
      </c>
    </row>
    <row r="7" spans="1:6">
      <c r="A7" s="6" t="s">
        <v>37</v>
      </c>
      <c r="B7" s="9" t="s">
        <v>193</v>
      </c>
      <c r="C7" s="7" t="s">
        <v>39</v>
      </c>
      <c r="D7" s="13">
        <v>46105</v>
      </c>
      <c r="E7" s="13">
        <v>46105</v>
      </c>
      <c r="F7" s="18">
        <f>IF(E7&gt;=D7,NETWORKDAYS(D7,E7,Holidays)-1,-(NETWORKDAYS(E7,D7,Holidays)-1))</f>
        <v>0</v>
      </c>
    </row>
    <row r="8" spans="1:6">
      <c r="A8" s="6" t="s">
        <v>42</v>
      </c>
      <c r="B8" s="9" t="s">
        <v>194</v>
      </c>
      <c r="C8" s="7" t="s">
        <v>29</v>
      </c>
      <c r="D8" s="13">
        <v>46119</v>
      </c>
      <c r="E8" s="13">
        <v>46119</v>
      </c>
      <c r="F8" s="18">
        <f>IF(E8&gt;=D8,NETWORKDAYS(D8,E8,Holidays)-1,-(NETWORKDAYS(E8,D8,Holidays)-1))</f>
        <v>0</v>
      </c>
    </row>
    <row r="9" spans="1:6">
      <c r="A9" s="6" t="s">
        <v>59</v>
      </c>
      <c r="B9" s="9" t="s">
        <v>195</v>
      </c>
      <c r="C9" s="7" t="s">
        <v>47</v>
      </c>
      <c r="D9" s="13">
        <v>46154</v>
      </c>
      <c r="E9" s="13">
        <v>46154</v>
      </c>
      <c r="F9" s="18">
        <f>IF(E9&gt;=D9,NETWORKDAYS(D9,E9,Holidays)-1,-(NETWORKDAYS(E9,D9,Holidays)-1))</f>
        <v>0</v>
      </c>
    </row>
    <row r="10" spans="1:6">
      <c r="A10" s="6" t="s">
        <v>76</v>
      </c>
      <c r="B10" s="9" t="s">
        <v>196</v>
      </c>
      <c r="C10" s="7" t="s">
        <v>29</v>
      </c>
      <c r="D10" s="13">
        <v>46160</v>
      </c>
      <c r="E10" s="13">
        <v>46164</v>
      </c>
      <c r="F10" s="18">
        <f>IF(E10&gt;=D10,NETWORKDAYS(D10,E10,Holidays)-1,-(NETWORKDAYS(E10,D10,Holidays)-1))</f>
        <v>0</v>
      </c>
    </row>
    <row r="11" spans="1:6">
      <c r="A11" s="6" t="s">
        <v>95</v>
      </c>
      <c r="B11" s="9" t="s">
        <v>197</v>
      </c>
      <c r="C11" s="7" t="s">
        <v>29</v>
      </c>
      <c r="D11" s="13">
        <v>46162</v>
      </c>
      <c r="E11" s="13">
        <v>46169</v>
      </c>
      <c r="F11" s="18">
        <f>IF(E11&gt;=D11,NETWORKDAYS(D11,E11,Holidays)-1,-(NETWORKDAYS(E11,D11,Holidays)-1))</f>
        <v>0</v>
      </c>
    </row>
    <row r="12" spans="1:6">
      <c r="A12" s="6" t="s">
        <v>106</v>
      </c>
      <c r="B12" s="9" t="s">
        <v>198</v>
      </c>
      <c r="C12" s="7" t="s">
        <v>29</v>
      </c>
      <c r="D12" s="13">
        <v>46183</v>
      </c>
      <c r="E12" s="13">
        <v>46189</v>
      </c>
      <c r="F12" s="18">
        <f>IF(E12&gt;=D12,NETWORKDAYS(D12,E12,Holidays)-1,-(NETWORKDAYS(E12,D12,Holidays)-1))</f>
        <v>0</v>
      </c>
    </row>
  </sheetData>
  <mergeCells count="1">
    <mergeCell ref="A1:F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9"/>
  <sheetViews>
    <sheetView showGridLines="0" workbookViewId="0"/>
  </sheetViews>
  <sheetFormatPr defaultRowHeight="15"/>
  <cols>
    <col min="1" max="1" width="16.7109375" customWidth="1"/>
    <col min="2" max="2" width="30.7109375" customWidth="1"/>
  </cols>
  <sheetData>
    <row r="1" spans="1:2" ht="34" customHeight="1">
      <c r="A1" s="1" t="s">
        <v>0</v>
      </c>
      <c r="B1" s="1"/>
    </row>
    <row r="2" spans="1:2" ht="24" customHeight="1">
      <c r="A2" s="2" t="s">
        <v>1</v>
      </c>
    </row>
    <row r="3" spans="1:2">
      <c r="A3" s="3" t="s">
        <v>2</v>
      </c>
    </row>
    <row r="5" spans="1:2" ht="28" customHeight="1">
      <c r="A5" s="4" t="s">
        <v>3</v>
      </c>
      <c r="B5" s="4" t="s">
        <v>4</v>
      </c>
    </row>
    <row r="6" spans="1:2">
      <c r="A6" s="13">
        <v>46115</v>
      </c>
      <c r="B6" s="7" t="s">
        <v>5</v>
      </c>
    </row>
    <row r="7" spans="1:2">
      <c r="A7" s="13">
        <v>46118</v>
      </c>
      <c r="B7" s="7" t="s">
        <v>6</v>
      </c>
    </row>
    <row r="8" spans="1:2">
      <c r="A8" s="13">
        <v>46146</v>
      </c>
      <c r="B8" s="7" t="s">
        <v>7</v>
      </c>
    </row>
    <row r="9" spans="1:2">
      <c r="A9" s="13">
        <v>46167</v>
      </c>
      <c r="B9" s="7" t="s">
        <v>8</v>
      </c>
    </row>
  </sheetData>
  <mergeCells count="1">
    <mergeCell ref="A1:B1"/>
  </mergeCells>
  <pageMargins left="0.4" right="0.4" top="0.6" bottom="0.6" header="0.3" footer="0.3"/>
  <pageSetup paperSize="9" fitToHeight="0" orientation="landscape"/>
  <headerFooter>
    <oddHeader>&amp;L&amp;8&amp;"Calibri,Bold"SIMULATED PROJECT: fictional company&amp;R&amp;8Project Compass: CRM implementation</oddHeader>
    <oddFooter>&amp;L&amp;8Simulated project: fictional company, created for portfolio and learning purposes&amp;R&amp;8Page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WBS</vt:lpstr>
      <vt:lpstr>Task list</vt:lpstr>
      <vt:lpstr>Gantt</vt:lpstr>
      <vt:lpstr>Milestones</vt:lpstr>
      <vt:lpstr>Holidays</vt:lpstr>
      <vt:lpstr>Holidays</vt:lpstr>
      <vt:lpstr>Gantt!Print_Titles</vt:lpstr>
      <vt:lpstr>'Task list'!Print_Titles</vt:lpstr>
      <vt:lpstr>WBS!Print_Titles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WBS and schedule (SIMULATED)</dc:title>
  <dc:subject>Project Compass: CRM implementation - fictional</dc:subject>
  <dc:creator>Chidera Ikenna-Obi</dc:creator>
  <dc:description>Simulated project: fictional company, created for portfolio and learning purposes</dc:description>
  <cp:lastModifiedBy>Chidera Ikenna-Obi</cp:lastModifiedBy>
  <dcterms:created xsi:type="dcterms:W3CDTF">2026-10-08T23:31:50Z</dcterms:created>
  <dcterms:modified xsi:type="dcterms:W3CDTF">2026-10-08T23:31:50Z</dcterms:modified>
</cp:coreProperties>
</file>