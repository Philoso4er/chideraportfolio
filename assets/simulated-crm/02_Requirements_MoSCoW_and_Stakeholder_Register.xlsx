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 (MoSCoW)" sheetId="1" r:id="rId1"/>
    <sheet name="Stakeholder register" sheetId="2" r:id="rId2"/>
    <sheet name="Power-interest grid" sheetId="3" r:id="rId3"/>
  </sheets>
  <definedNames>
    <definedName name="_xlnm.Print_Titles" localSheetId="0">'Requirements (MoSCoW)'!$5:$5</definedName>
    <definedName name="_xlnm.Print_Titles" localSheetId="1">'Stakeholder register'!$5:$5</definedName>
  </definedNames>
  <calcPr calcId="124519" fullCalcOnLoad="1"/>
</workbook>
</file>

<file path=xl/sharedStrings.xml><?xml version="1.0" encoding="utf-8"?>
<sst xmlns="http://schemas.openxmlformats.org/spreadsheetml/2006/main" count="237" uniqueCount="149">
  <si>
    <t>⚠  SIMULATED PROJECT: FICTIONAL COMPANY, CREATED FOR PORTFOLIO AND LEARNING PURPOSES  ·  Cobbleway Home Services Ltd is not a real business</t>
  </si>
  <si>
    <t>Requirements catalogue (MoSCoW)</t>
  </si>
  <si>
    <t>Project Compass: CRM implementation · v1.0 signed off 24 Mar 2026 by Dave Pearson (Senior User) · status column updated at closure</t>
  </si>
  <si>
    <t>ID</t>
  </si>
  <si>
    <t>Priority</t>
  </si>
  <si>
    <t>Requirement</t>
  </si>
  <si>
    <t>Acceptance criterion</t>
  </si>
  <si>
    <t>Owner</t>
  </si>
  <si>
    <t>Status at closure</t>
  </si>
  <si>
    <t>REQ-01</t>
  </si>
  <si>
    <t>Must</t>
  </si>
  <si>
    <t>Single customer record holding contacts, properties, appliances and job history</t>
  </si>
  <si>
    <t>Any customer's full history found in under 30 seconds in UAT</t>
  </si>
  <si>
    <t>Priya Shah</t>
  </si>
  <si>
    <t>Delivered</t>
  </si>
  <si>
    <t>REQ-02</t>
  </si>
  <si>
    <t>Log enquiries from phone, email and the website form in one queue</t>
  </si>
  <si>
    <t>All three channels create an enquiry with source recorded</t>
  </si>
  <si>
    <t>REQ-03</t>
  </si>
  <si>
    <t>Create and send quotes from templates, with VAT calculated correctly</t>
  </si>
  <si>
    <t>Quote PDF produced and emailed from the record; VAT correct to the penny</t>
  </si>
  <si>
    <t>Tom Reilly</t>
  </si>
  <si>
    <t>REQ-04</t>
  </si>
  <si>
    <t>Sales pipeline with stages and automatic follow-up tasks</t>
  </si>
  <si>
    <t>Follow-up task created 3 working days after a quote is sent</t>
  </si>
  <si>
    <t>REQ-05</t>
  </si>
  <si>
    <t>Job records linked to customer and quote, assignable to an engineer</t>
  </si>
  <si>
    <t>Accepted quote converts to a job in one step</t>
  </si>
  <si>
    <t>Dave Pearson</t>
  </si>
  <si>
    <t>REQ-06</t>
  </si>
  <si>
    <t>Mobile access for engineers: job details, notes, photos and customer sign-off</t>
  </si>
  <si>
    <t>Engineer completes a job end to end on a tablet in UAT</t>
  </si>
  <si>
    <t>Gary Hodgson</t>
  </si>
  <si>
    <t>REQ-07</t>
  </si>
  <si>
    <t>Migrate active customers (last 6 years) with duplicates removed</t>
  </si>
  <si>
    <t>Reconciliation report: record counts match; duplicate rate under 1%</t>
  </si>
  <si>
    <t>REQ-08</t>
  </si>
  <si>
    <t>Role-based access and UK GDPR-aligned retention rules</t>
  </si>
  <si>
    <t>Engineers see only assigned jobs; retention rule applied to inactive records</t>
  </si>
  <si>
    <t>Helen Marsh</t>
  </si>
  <si>
    <t>REQ-09</t>
  </si>
  <si>
    <t>Should</t>
  </si>
  <si>
    <t>Automated annual boiler-service reminders by email and SMS</t>
  </si>
  <si>
    <t>Reminder sent 30 days before the service due date</t>
  </si>
  <si>
    <t>REQ-10</t>
  </si>
  <si>
    <t>Sync invoices and customers with the existing accounting package</t>
  </si>
  <si>
    <t>Invoice raised in CRM appears in accounting within 15 minutes</t>
  </si>
  <si>
    <t>Lucy Bell</t>
  </si>
  <si>
    <t>Partly delivered (one-way sync; two-way in backlog)</t>
  </si>
  <si>
    <t>REQ-11</t>
  </si>
  <si>
    <t>Log emails against the customer record</t>
  </si>
  <si>
    <t>Shared-inbox emails attach to the matching customer</t>
  </si>
  <si>
    <t>Ben Ward</t>
  </si>
  <si>
    <t>REQ-12</t>
  </si>
  <si>
    <t>Management reports: pipeline value, conversion rate, quote turnaround</t>
  </si>
  <si>
    <t>Weekly report available to the MD without manual work</t>
  </si>
  <si>
    <t>REQ-13</t>
  </si>
  <si>
    <t>Offline mode for the mobile app in low-signal areas</t>
  </si>
  <si>
    <t>Job notes captured offline sync when signal returns</t>
  </si>
  <si>
    <t>REQ-14</t>
  </si>
  <si>
    <t>Could</t>
  </si>
  <si>
    <t>Customer online booking portal</t>
  </si>
  <si>
    <t>Customers can request a service slot online</t>
  </si>
  <si>
    <t>Deferred to backlog</t>
  </si>
  <si>
    <t>REQ-15</t>
  </si>
  <si>
    <t>Post-job customer satisfaction survey</t>
  </si>
  <si>
    <t>Survey sent automatically when a job is closed</t>
  </si>
  <si>
    <t>REQ-16</t>
  </si>
  <si>
    <t>Van stock tracking</t>
  </si>
  <si>
    <t>Stock used on a job deducted from van stock</t>
  </si>
  <si>
    <t>REQ-17</t>
  </si>
  <si>
    <t>Won't</t>
  </si>
  <si>
    <t>Replace the accounting package (out of scope this phase)</t>
  </si>
  <si>
    <t>n/a</t>
  </si>
  <si>
    <t>Not in scope (as agreed)</t>
  </si>
  <si>
    <t>REQ-18</t>
  </si>
  <si>
    <t>Route optimisation for engineer scheduling (out of scope this phase)</t>
  </si>
  <si>
    <t>Summary (formulas)</t>
  </si>
  <si>
    <t>Count</t>
  </si>
  <si>
    <t>Stakeholder register (power / interest)</t>
  </si>
  <si>
    <t>Power and interest scored 1 (low) to 5 (high). Quadrant is calculated: power ≥3 and interest ≥3 = Manage closely.</t>
  </si>
  <si>
    <t>Stakeholder</t>
  </si>
  <si>
    <t>Role</t>
  </si>
  <si>
    <t>Organisation</t>
  </si>
  <si>
    <t>Power</t>
  </si>
  <si>
    <t>Interest</t>
  </si>
  <si>
    <t>Quadrant</t>
  </si>
  <si>
    <t>Key interest / concern</t>
  </si>
  <si>
    <t>Current</t>
  </si>
  <si>
    <t>Desired</t>
  </si>
  <si>
    <t>Engagement approach</t>
  </si>
  <si>
    <t>Relationship owner</t>
  </si>
  <si>
    <t>Managing Director, Project Sponsor</t>
  </si>
  <si>
    <t>Cobbleway</t>
  </si>
  <si>
    <t>Return on investment; less lost work; no disruption to customers</t>
  </si>
  <si>
    <t>Supportive</t>
  </si>
  <si>
    <t>Leading</t>
  </si>
  <si>
    <t>Fortnightly sponsor 1:1; owns go/no-go and tolerances</t>
  </si>
  <si>
    <t>Chidera Ikenna-Obi</t>
  </si>
  <si>
    <t>Operations Manager, Senior User</t>
  </si>
  <si>
    <t>Job scheduling works on day one; engineers' time protected</t>
  </si>
  <si>
    <t>Weekly project meeting; signs off requirements and UAT</t>
  </si>
  <si>
    <t>Office Manager, Lead CRM Champion</t>
  </si>
  <si>
    <t>Workload during data cleansing; ease of use for the office team</t>
  </si>
  <si>
    <t>Neutral</t>
  </si>
  <si>
    <t>Champion role; involved in design and data rules; backfill agreed</t>
  </si>
  <si>
    <t>Sales and Estimating Lead</t>
  </si>
  <si>
    <t>Quote templates and follow-ups; pipeline visibility</t>
  </si>
  <si>
    <t>Requirements workshops; quote template owner</t>
  </si>
  <si>
    <t>Field Supervisor</t>
  </si>
  <si>
    <t>Extra admin for engineers; reliability of the mobile app</t>
  </si>
  <si>
    <t>Resistant</t>
  </si>
  <si>
    <t>Early demo; co-designs mobile job screens; leads engineer training</t>
  </si>
  <si>
    <t>Field engineers (14) and apprentices (2)</t>
  </si>
  <si>
    <t>End users (mobile)</t>
  </si>
  <si>
    <t>Simple screens; no extra paperwork; works with poor signal</t>
  </si>
  <si>
    <t>Toolbox talks; short hands-on sessions; quick-reference cards</t>
  </si>
  <si>
    <t>Customer service coordinators (3)</t>
  </si>
  <si>
    <t>End users (office)</t>
  </si>
  <si>
    <t>Learning a new system in peak season</t>
  </si>
  <si>
    <t>Champions network; training before go-live; floor-walking in hypercare</t>
  </si>
  <si>
    <t>Finance and Admin Officer</t>
  </si>
  <si>
    <t>Invoices reconcile with the accounting package</t>
  </si>
  <si>
    <t>Integration testing owner; monthly budget review</t>
  </si>
  <si>
    <t>Sam Carter</t>
  </si>
  <si>
    <t>Implementation Consultant, Senior Supplier</t>
  </si>
  <si>
    <t>Northlight CRM Partners (fictional)</t>
  </si>
  <si>
    <t>Clear requirements; change requests handled formally</t>
  </si>
  <si>
    <t>Weekly supplier check-in; change control</t>
  </si>
  <si>
    <t>IT Support Contractor</t>
  </si>
  <si>
    <t>Quayside IT (fictional)</t>
  </si>
  <si>
    <t>Email domain and device set-up requests on time</t>
  </si>
  <si>
    <t>Ticketed requests with two weeks' notice</t>
  </si>
  <si>
    <t>Customers</t>
  </si>
  <si>
    <t>Homeowners and small businesses</t>
  </si>
  <si>
    <t>External</t>
  </si>
  <si>
    <t>Service unaffected; reminders and quotes arrive on time</t>
  </si>
  <si>
    <t>Unaware</t>
  </si>
  <si>
    <t>No direct engagement; monitor complaints through go-live</t>
  </si>
  <si>
    <t>Power / interest grid</t>
  </si>
  <si>
    <t>Counts are formulas on the register; names listed for quick reading.</t>
  </si>
  <si>
    <t>HIGH POWER</t>
  </si>
  <si>
    <t>LOW POWER</t>
  </si>
  <si>
    <t>LOW INTEREST →</t>
  </si>
  <si>
    <t>HIGH INTEREST →</t>
  </si>
  <si>
    <t>• Sam Carter</t>
  </si>
  <si>
    <t>• Helen Marsh
• Dave Pearson
• Priya Shah
• Tom Reilly
• Gary Hodgson</t>
  </si>
  <si>
    <t>• Ben Ward
• Customers</t>
  </si>
  <si>
    <t>• Field engineers (14) and apprentices (2)
• Customer service coordinators (3)
• Lucy Bell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</si>
</sst>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rgb="FF7C4A03"/>
      <name val="Calibri"/>
      <family val="2"/>
      <scheme val="minor"/>
    </font>
    <font>
      <b/>
      <sz val="15"/>
      <color rgb="FF0F1D3A"/>
      <name val="Calibri"/>
      <family val="2"/>
      <scheme val="minor"/>
    </font>
    <font>
      <i/>
      <sz val="10"/>
      <color rgb="FF5C67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F0D8"/>
        <bgColor indexed="64"/>
      </patternFill>
    </fill>
    <fill>
      <patternFill patternType="solid">
        <fgColor rgb="FF0F1D3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rgb="FFE0B060"/>
      </left>
      <right style="thin">
        <color rgb="FFE0B060"/>
      </right>
      <top style="thin">
        <color rgb="FFE0B060"/>
      </top>
      <bottom style="thin">
        <color rgb="FFE0B060"/>
      </bottom>
      <diagonal/>
    </border>
    <border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1" fontId="6" fillId="0" borderId="2" xfId="0" applyNumberFormat="1" applyFont="1" applyBorder="1" applyAlignment="1">
      <alignment horizontal="center" vertical="top"/>
    </xf>
    <xf numFmtId="0" fontId="5" fillId="4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</cellXfs>
  <cellStyles count="1">
    <cellStyle name="Normal" xfId="0" builtinId="0"/>
  </cellStyles>
  <dxfs count="7">
    <dxf>
      <font>
        <b/>
        <color rgb="FF14532D"/>
      </font>
      <fill>
        <patternFill>
          <bgColor rgb="FFDFF3E6"/>
        </patternFill>
      </fill>
    </dxf>
    <dxf>
      <font>
        <b/>
        <color rgb="FF1E3A8A"/>
      </font>
      <fill>
        <patternFill>
          <bgColor rgb="FFE3EEFC"/>
        </patternFill>
      </fill>
    </dxf>
    <dxf>
      <font>
        <b/>
        <color rgb="FF7C4A03"/>
      </font>
      <fill>
        <patternFill>
          <bgColor rgb="FFFDF0D8"/>
        </patternFill>
      </fill>
    </dxf>
    <dxf>
      <font>
        <b/>
        <color rgb="FF3B4354"/>
      </font>
      <fill>
        <patternFill>
          <bgColor rgb="FFEEF1F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C4A03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2" width="9.7109375" customWidth="1"/>
    <col min="3" max="3" width="46.7109375" customWidth="1"/>
    <col min="4" max="4" width="42.7109375" customWidth="1"/>
    <col min="5" max="5" width="16.7109375" customWidth="1"/>
    <col min="6" max="6" width="26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4" customHeight="1">
      <c r="A2" s="2" t="s">
        <v>1</v>
      </c>
    </row>
    <row r="3" spans="1:6">
      <c r="A3" s="3" t="s">
        <v>2</v>
      </c>
    </row>
    <row r="5" spans="1:6" ht="28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30" customHeight="1">
      <c r="A6" s="5" t="s">
        <v>9</v>
      </c>
      <c r="B6" s="6" t="s">
        <v>10</v>
      </c>
      <c r="C6" s="7" t="s">
        <v>11</v>
      </c>
      <c r="D6" s="7" t="s">
        <v>12</v>
      </c>
      <c r="E6" s="7" t="s">
        <v>13</v>
      </c>
      <c r="F6" s="7" t="s">
        <v>14</v>
      </c>
    </row>
    <row r="7" spans="1:6" ht="30" customHeight="1">
      <c r="A7" s="5" t="s">
        <v>15</v>
      </c>
      <c r="B7" s="6" t="s">
        <v>10</v>
      </c>
      <c r="C7" s="7" t="s">
        <v>16</v>
      </c>
      <c r="D7" s="7" t="s">
        <v>17</v>
      </c>
      <c r="E7" s="7" t="s">
        <v>13</v>
      </c>
      <c r="F7" s="7" t="s">
        <v>14</v>
      </c>
    </row>
    <row r="8" spans="1:6" ht="30" customHeight="1">
      <c r="A8" s="5" t="s">
        <v>18</v>
      </c>
      <c r="B8" s="6" t="s">
        <v>10</v>
      </c>
      <c r="C8" s="7" t="s">
        <v>19</v>
      </c>
      <c r="D8" s="7" t="s">
        <v>20</v>
      </c>
      <c r="E8" s="7" t="s">
        <v>21</v>
      </c>
      <c r="F8" s="7" t="s">
        <v>14</v>
      </c>
    </row>
    <row r="9" spans="1:6" ht="30" customHeight="1">
      <c r="A9" s="5" t="s">
        <v>22</v>
      </c>
      <c r="B9" s="6" t="s">
        <v>10</v>
      </c>
      <c r="C9" s="7" t="s">
        <v>23</v>
      </c>
      <c r="D9" s="7" t="s">
        <v>24</v>
      </c>
      <c r="E9" s="7" t="s">
        <v>21</v>
      </c>
      <c r="F9" s="7" t="s">
        <v>14</v>
      </c>
    </row>
    <row r="10" spans="1:6" ht="30" customHeight="1">
      <c r="A10" s="5" t="s">
        <v>25</v>
      </c>
      <c r="B10" s="6" t="s">
        <v>10</v>
      </c>
      <c r="C10" s="7" t="s">
        <v>26</v>
      </c>
      <c r="D10" s="7" t="s">
        <v>27</v>
      </c>
      <c r="E10" s="7" t="s">
        <v>28</v>
      </c>
      <c r="F10" s="7" t="s">
        <v>14</v>
      </c>
    </row>
    <row r="11" spans="1:6" ht="30" customHeight="1">
      <c r="A11" s="5" t="s">
        <v>29</v>
      </c>
      <c r="B11" s="6" t="s">
        <v>10</v>
      </c>
      <c r="C11" s="7" t="s">
        <v>30</v>
      </c>
      <c r="D11" s="7" t="s">
        <v>31</v>
      </c>
      <c r="E11" s="7" t="s">
        <v>32</v>
      </c>
      <c r="F11" s="7" t="s">
        <v>14</v>
      </c>
    </row>
    <row r="12" spans="1:6" ht="30" customHeight="1">
      <c r="A12" s="5" t="s">
        <v>33</v>
      </c>
      <c r="B12" s="6" t="s">
        <v>10</v>
      </c>
      <c r="C12" s="7" t="s">
        <v>34</v>
      </c>
      <c r="D12" s="7" t="s">
        <v>35</v>
      </c>
      <c r="E12" s="7" t="s">
        <v>13</v>
      </c>
      <c r="F12" s="7" t="s">
        <v>14</v>
      </c>
    </row>
    <row r="13" spans="1:6" ht="30" customHeight="1">
      <c r="A13" s="5" t="s">
        <v>36</v>
      </c>
      <c r="B13" s="6" t="s">
        <v>10</v>
      </c>
      <c r="C13" s="7" t="s">
        <v>37</v>
      </c>
      <c r="D13" s="7" t="s">
        <v>38</v>
      </c>
      <c r="E13" s="7" t="s">
        <v>39</v>
      </c>
      <c r="F13" s="7" t="s">
        <v>14</v>
      </c>
    </row>
    <row r="14" spans="1:6" ht="30" customHeight="1">
      <c r="A14" s="5" t="s">
        <v>40</v>
      </c>
      <c r="B14" s="6" t="s">
        <v>41</v>
      </c>
      <c r="C14" s="7" t="s">
        <v>42</v>
      </c>
      <c r="D14" s="7" t="s">
        <v>43</v>
      </c>
      <c r="E14" s="7" t="s">
        <v>13</v>
      </c>
      <c r="F14" s="7" t="s">
        <v>14</v>
      </c>
    </row>
    <row r="15" spans="1:6" ht="30" customHeight="1">
      <c r="A15" s="5" t="s">
        <v>44</v>
      </c>
      <c r="B15" s="6" t="s">
        <v>41</v>
      </c>
      <c r="C15" s="7" t="s">
        <v>45</v>
      </c>
      <c r="D15" s="7" t="s">
        <v>46</v>
      </c>
      <c r="E15" s="7" t="s">
        <v>47</v>
      </c>
      <c r="F15" s="7" t="s">
        <v>48</v>
      </c>
    </row>
    <row r="16" spans="1:6" ht="30" customHeight="1">
      <c r="A16" s="5" t="s">
        <v>49</v>
      </c>
      <c r="B16" s="6" t="s">
        <v>41</v>
      </c>
      <c r="C16" s="7" t="s">
        <v>50</v>
      </c>
      <c r="D16" s="7" t="s">
        <v>51</v>
      </c>
      <c r="E16" s="7" t="s">
        <v>52</v>
      </c>
      <c r="F16" s="7" t="s">
        <v>14</v>
      </c>
    </row>
    <row r="17" spans="1:6" ht="30" customHeight="1">
      <c r="A17" s="5" t="s">
        <v>53</v>
      </c>
      <c r="B17" s="6" t="s">
        <v>41</v>
      </c>
      <c r="C17" s="7" t="s">
        <v>54</v>
      </c>
      <c r="D17" s="7" t="s">
        <v>55</v>
      </c>
      <c r="E17" s="7" t="s">
        <v>28</v>
      </c>
      <c r="F17" s="7" t="s">
        <v>14</v>
      </c>
    </row>
    <row r="18" spans="1:6" ht="30" customHeight="1">
      <c r="A18" s="5" t="s">
        <v>56</v>
      </c>
      <c r="B18" s="6" t="s">
        <v>41</v>
      </c>
      <c r="C18" s="7" t="s">
        <v>57</v>
      </c>
      <c r="D18" s="7" t="s">
        <v>58</v>
      </c>
      <c r="E18" s="7" t="s">
        <v>32</v>
      </c>
      <c r="F18" s="7" t="s">
        <v>14</v>
      </c>
    </row>
    <row r="19" spans="1:6" ht="30" customHeight="1">
      <c r="A19" s="5" t="s">
        <v>59</v>
      </c>
      <c r="B19" s="6" t="s">
        <v>60</v>
      </c>
      <c r="C19" s="7" t="s">
        <v>61</v>
      </c>
      <c r="D19" s="7" t="s">
        <v>62</v>
      </c>
      <c r="E19" s="7" t="s">
        <v>21</v>
      </c>
      <c r="F19" s="7" t="s">
        <v>63</v>
      </c>
    </row>
    <row r="20" spans="1:6" ht="30" customHeight="1">
      <c r="A20" s="5" t="s">
        <v>64</v>
      </c>
      <c r="B20" s="6" t="s">
        <v>60</v>
      </c>
      <c r="C20" s="7" t="s">
        <v>65</v>
      </c>
      <c r="D20" s="7" t="s">
        <v>66</v>
      </c>
      <c r="E20" s="7" t="s">
        <v>13</v>
      </c>
      <c r="F20" s="7" t="s">
        <v>14</v>
      </c>
    </row>
    <row r="21" spans="1:6" ht="30" customHeight="1">
      <c r="A21" s="5" t="s">
        <v>67</v>
      </c>
      <c r="B21" s="6" t="s">
        <v>60</v>
      </c>
      <c r="C21" s="7" t="s">
        <v>68</v>
      </c>
      <c r="D21" s="7" t="s">
        <v>69</v>
      </c>
      <c r="E21" s="7" t="s">
        <v>32</v>
      </c>
      <c r="F21" s="7" t="s">
        <v>63</v>
      </c>
    </row>
    <row r="22" spans="1:6" ht="30" customHeight="1">
      <c r="A22" s="5" t="s">
        <v>70</v>
      </c>
      <c r="B22" s="6" t="s">
        <v>71</v>
      </c>
      <c r="C22" s="7" t="s">
        <v>72</v>
      </c>
      <c r="D22" s="7" t="s">
        <v>73</v>
      </c>
      <c r="E22" s="7" t="s">
        <v>47</v>
      </c>
      <c r="F22" s="7" t="s">
        <v>74</v>
      </c>
    </row>
    <row r="23" spans="1:6" ht="30" customHeight="1">
      <c r="A23" s="5" t="s">
        <v>75</v>
      </c>
      <c r="B23" s="6" t="s">
        <v>71</v>
      </c>
      <c r="C23" s="7" t="s">
        <v>76</v>
      </c>
      <c r="D23" s="7" t="s">
        <v>73</v>
      </c>
      <c r="E23" s="7" t="s">
        <v>28</v>
      </c>
      <c r="F23" s="7" t="s">
        <v>74</v>
      </c>
    </row>
    <row r="25" spans="1:6">
      <c r="C25" s="4" t="s">
        <v>77</v>
      </c>
      <c r="D25" s="4" t="s">
        <v>78</v>
      </c>
      <c r="E25" s="4" t="s">
        <v>14</v>
      </c>
    </row>
    <row r="26" spans="1:6">
      <c r="C26" s="5" t="s">
        <v>10</v>
      </c>
      <c r="D26" s="8">
        <f>COUNTIF($B$6:$B$23,"Must")</f>
        <v>0</v>
      </c>
      <c r="E26" s="8">
        <f>COUNTIFS($B$6:$B$23,"Must",$F$6:$F$23,"Delivered*")</f>
        <v>0</v>
      </c>
    </row>
    <row r="27" spans="1:6">
      <c r="C27" s="5" t="s">
        <v>41</v>
      </c>
      <c r="D27" s="8">
        <f>COUNTIF($B$6:$B$23,"Should")</f>
        <v>0</v>
      </c>
      <c r="E27" s="8">
        <f>COUNTIFS($B$6:$B$23,"Should",$F$6:$F$23,"Delivered*")</f>
        <v>0</v>
      </c>
    </row>
    <row r="28" spans="1:6">
      <c r="C28" s="5" t="s">
        <v>60</v>
      </c>
      <c r="D28" s="8">
        <f>COUNTIF($B$6:$B$23,"Could")</f>
        <v>0</v>
      </c>
      <c r="E28" s="8">
        <f>COUNTIFS($B$6:$B$23,"Could",$F$6:$F$23,"Delivered*")</f>
        <v>0</v>
      </c>
    </row>
    <row r="29" spans="1:6">
      <c r="C29" s="5" t="s">
        <v>71</v>
      </c>
      <c r="D29" s="8">
        <f>COUNTIF($B$6:$B$23,"Won't")</f>
        <v>0</v>
      </c>
      <c r="E29" s="8">
        <f>COUNTIFS($B$6:$B$23,"Won't",$F$6:$F$23,"Delivered*")</f>
        <v>0</v>
      </c>
    </row>
  </sheetData>
  <mergeCells count="1">
    <mergeCell ref="A1:F1"/>
  </mergeCells>
  <conditionalFormatting sqref="B6:B23">
    <cfRule type="cellIs" dxfId="0" priority="1" operator="equal">
      <formula>"Must"</formula>
    </cfRule>
    <cfRule type="cellIs" dxfId="1" priority="2" operator="equal">
      <formula>"Should"</formula>
    </cfRule>
    <cfRule type="cellIs" dxfId="2" priority="3" operator="equal">
      <formula>"Could"</formula>
    </cfRule>
    <cfRule type="cellIs" dxfId="3" priority="4" operator="equal">
      <formula>"Won't"</formula>
    </cfRule>
  </conditionalFormatting>
  <conditionalFormatting sqref="F6:F23">
    <cfRule type="beginsWith" dxfId="4" priority="5" operator="beginsWith" text="Delivered">
      <formula>LEFT(F6,9)="Delivered"</formula>
    </cfRule>
    <cfRule type="beginsWith" dxfId="5" priority="6" operator="beginsWith" text="Partly">
      <formula>LEFT(F6,6)="Partly"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" width="24.7109375" customWidth="1"/>
    <col min="3" max="3" width="18.7109375" customWidth="1"/>
    <col min="4" max="4" width="7.7109375" customWidth="1"/>
    <col min="5" max="5" width="8.7109375" customWidth="1"/>
    <col min="6" max="6" width="15.7109375" customWidth="1"/>
    <col min="7" max="7" width="34.7109375" customWidth="1"/>
    <col min="8" max="9" width="11.7109375" customWidth="1"/>
    <col min="10" max="10" width="38.7109375" customWidth="1"/>
    <col min="11" max="11" width="14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>
      <c r="A2" s="2" t="s">
        <v>79</v>
      </c>
    </row>
    <row r="3" spans="1:11">
      <c r="A3" s="3" t="s">
        <v>80</v>
      </c>
    </row>
    <row r="5" spans="1:11" ht="28" customHeight="1">
      <c r="A5" s="4" t="s">
        <v>81</v>
      </c>
      <c r="B5" s="4" t="s">
        <v>82</v>
      </c>
      <c r="C5" s="4" t="s">
        <v>83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89</v>
      </c>
      <c r="J5" s="4" t="s">
        <v>90</v>
      </c>
      <c r="K5" s="4" t="s">
        <v>91</v>
      </c>
    </row>
    <row r="6" spans="1:11" ht="40" customHeight="1">
      <c r="A6" s="5" t="s">
        <v>39</v>
      </c>
      <c r="B6" s="7" t="s">
        <v>92</v>
      </c>
      <c r="C6" s="7" t="s">
        <v>93</v>
      </c>
      <c r="D6" s="6">
        <v>5</v>
      </c>
      <c r="E6" s="6">
        <v>5</v>
      </c>
      <c r="F6" s="6">
        <f>IF(AND(D6&gt;=3,E6&gt;=3),"Manage closely",IF(D6&gt;=3,"Keep satisfied",IF(E6&gt;=3,"Keep informed","Monitor")))</f>
        <v>0</v>
      </c>
      <c r="G6" s="7" t="s">
        <v>94</v>
      </c>
      <c r="H6" s="6" t="s">
        <v>95</v>
      </c>
      <c r="I6" s="6" t="s">
        <v>96</v>
      </c>
      <c r="J6" s="7" t="s">
        <v>97</v>
      </c>
      <c r="K6" s="7" t="s">
        <v>98</v>
      </c>
    </row>
    <row r="7" spans="1:11" ht="40" customHeight="1">
      <c r="A7" s="5" t="s">
        <v>28</v>
      </c>
      <c r="B7" s="7" t="s">
        <v>99</v>
      </c>
      <c r="C7" s="7" t="s">
        <v>93</v>
      </c>
      <c r="D7" s="6">
        <v>4</v>
      </c>
      <c r="E7" s="6">
        <v>5</v>
      </c>
      <c r="F7" s="6">
        <f>IF(AND(D7&gt;=3,E7&gt;=3),"Manage closely",IF(D7&gt;=3,"Keep satisfied",IF(E7&gt;=3,"Keep informed","Monitor")))</f>
        <v>0</v>
      </c>
      <c r="G7" s="7" t="s">
        <v>100</v>
      </c>
      <c r="H7" s="6" t="s">
        <v>95</v>
      </c>
      <c r="I7" s="6" t="s">
        <v>96</v>
      </c>
      <c r="J7" s="7" t="s">
        <v>101</v>
      </c>
      <c r="K7" s="7" t="s">
        <v>98</v>
      </c>
    </row>
    <row r="8" spans="1:11" ht="40" customHeight="1">
      <c r="A8" s="5" t="s">
        <v>13</v>
      </c>
      <c r="B8" s="7" t="s">
        <v>102</v>
      </c>
      <c r="C8" s="7" t="s">
        <v>93</v>
      </c>
      <c r="D8" s="6">
        <v>3</v>
      </c>
      <c r="E8" s="6">
        <v>5</v>
      </c>
      <c r="F8" s="6">
        <f>IF(AND(D8&gt;=3,E8&gt;=3),"Manage closely",IF(D8&gt;=3,"Keep satisfied",IF(E8&gt;=3,"Keep informed","Monitor")))</f>
        <v>0</v>
      </c>
      <c r="G8" s="7" t="s">
        <v>103</v>
      </c>
      <c r="H8" s="6" t="s">
        <v>104</v>
      </c>
      <c r="I8" s="6" t="s">
        <v>96</v>
      </c>
      <c r="J8" s="7" t="s">
        <v>105</v>
      </c>
      <c r="K8" s="7" t="s">
        <v>98</v>
      </c>
    </row>
    <row r="9" spans="1:11" ht="40" customHeight="1">
      <c r="A9" s="5" t="s">
        <v>21</v>
      </c>
      <c r="B9" s="7" t="s">
        <v>106</v>
      </c>
      <c r="C9" s="7" t="s">
        <v>93</v>
      </c>
      <c r="D9" s="6">
        <v>3</v>
      </c>
      <c r="E9" s="6">
        <v>5</v>
      </c>
      <c r="F9" s="6">
        <f>IF(AND(D9&gt;=3,E9&gt;=3),"Manage closely",IF(D9&gt;=3,"Keep satisfied",IF(E9&gt;=3,"Keep informed","Monitor")))</f>
        <v>0</v>
      </c>
      <c r="G9" s="7" t="s">
        <v>107</v>
      </c>
      <c r="H9" s="6" t="s">
        <v>95</v>
      </c>
      <c r="I9" s="6" t="s">
        <v>95</v>
      </c>
      <c r="J9" s="7" t="s">
        <v>108</v>
      </c>
      <c r="K9" s="7" t="s">
        <v>98</v>
      </c>
    </row>
    <row r="10" spans="1:11" ht="40" customHeight="1">
      <c r="A10" s="5" t="s">
        <v>32</v>
      </c>
      <c r="B10" s="7" t="s">
        <v>109</v>
      </c>
      <c r="C10" s="7" t="s">
        <v>93</v>
      </c>
      <c r="D10" s="6">
        <v>3</v>
      </c>
      <c r="E10" s="6">
        <v>4</v>
      </c>
      <c r="F10" s="6">
        <f>IF(AND(D10&gt;=3,E10&gt;=3),"Manage closely",IF(D10&gt;=3,"Keep satisfied",IF(E10&gt;=3,"Keep informed","Monitor")))</f>
        <v>0</v>
      </c>
      <c r="G10" s="7" t="s">
        <v>110</v>
      </c>
      <c r="H10" s="6" t="s">
        <v>111</v>
      </c>
      <c r="I10" s="6" t="s">
        <v>95</v>
      </c>
      <c r="J10" s="7" t="s">
        <v>112</v>
      </c>
      <c r="K10" s="7" t="s">
        <v>28</v>
      </c>
    </row>
    <row r="11" spans="1:11" ht="40" customHeight="1">
      <c r="A11" s="5" t="s">
        <v>113</v>
      </c>
      <c r="B11" s="7" t="s">
        <v>114</v>
      </c>
      <c r="C11" s="7" t="s">
        <v>93</v>
      </c>
      <c r="D11" s="6">
        <v>2</v>
      </c>
      <c r="E11" s="6">
        <v>4</v>
      </c>
      <c r="F11" s="6">
        <f>IF(AND(D11&gt;=3,E11&gt;=3),"Manage closely",IF(D11&gt;=3,"Keep satisfied",IF(E11&gt;=3,"Keep informed","Monitor")))</f>
        <v>0</v>
      </c>
      <c r="G11" s="7" t="s">
        <v>115</v>
      </c>
      <c r="H11" s="6" t="s">
        <v>104</v>
      </c>
      <c r="I11" s="6" t="s">
        <v>95</v>
      </c>
      <c r="J11" s="7" t="s">
        <v>116</v>
      </c>
      <c r="K11" s="7" t="s">
        <v>32</v>
      </c>
    </row>
    <row r="12" spans="1:11" ht="40" customHeight="1">
      <c r="A12" s="5" t="s">
        <v>117</v>
      </c>
      <c r="B12" s="7" t="s">
        <v>118</v>
      </c>
      <c r="C12" s="7" t="s">
        <v>93</v>
      </c>
      <c r="D12" s="6">
        <v>2</v>
      </c>
      <c r="E12" s="6">
        <v>5</v>
      </c>
      <c r="F12" s="6">
        <f>IF(AND(D12&gt;=3,E12&gt;=3),"Manage closely",IF(D12&gt;=3,"Keep satisfied",IF(E12&gt;=3,"Keep informed","Monitor")))</f>
        <v>0</v>
      </c>
      <c r="G12" s="7" t="s">
        <v>119</v>
      </c>
      <c r="H12" s="6" t="s">
        <v>104</v>
      </c>
      <c r="I12" s="6" t="s">
        <v>95</v>
      </c>
      <c r="J12" s="7" t="s">
        <v>120</v>
      </c>
      <c r="K12" s="7" t="s">
        <v>13</v>
      </c>
    </row>
    <row r="13" spans="1:11" ht="40" customHeight="1">
      <c r="A13" s="5" t="s">
        <v>47</v>
      </c>
      <c r="B13" s="7" t="s">
        <v>121</v>
      </c>
      <c r="C13" s="7" t="s">
        <v>93</v>
      </c>
      <c r="D13" s="6">
        <v>2</v>
      </c>
      <c r="E13" s="6">
        <v>3</v>
      </c>
      <c r="F13" s="6">
        <f>IF(AND(D13&gt;=3,E13&gt;=3),"Manage closely",IF(D13&gt;=3,"Keep satisfied",IF(E13&gt;=3,"Keep informed","Monitor")))</f>
        <v>0</v>
      </c>
      <c r="G13" s="7" t="s">
        <v>122</v>
      </c>
      <c r="H13" s="6" t="s">
        <v>104</v>
      </c>
      <c r="I13" s="6" t="s">
        <v>95</v>
      </c>
      <c r="J13" s="7" t="s">
        <v>123</v>
      </c>
      <c r="K13" s="7" t="s">
        <v>98</v>
      </c>
    </row>
    <row r="14" spans="1:11" ht="40" customHeight="1">
      <c r="A14" s="5" t="s">
        <v>124</v>
      </c>
      <c r="B14" s="7" t="s">
        <v>125</v>
      </c>
      <c r="C14" s="7" t="s">
        <v>126</v>
      </c>
      <c r="D14" s="6">
        <v>4</v>
      </c>
      <c r="E14" s="6">
        <v>2</v>
      </c>
      <c r="F14" s="6">
        <f>IF(AND(D14&gt;=3,E14&gt;=3),"Manage closely",IF(D14&gt;=3,"Keep satisfied",IF(E14&gt;=3,"Keep informed","Monitor")))</f>
        <v>0</v>
      </c>
      <c r="G14" s="7" t="s">
        <v>127</v>
      </c>
      <c r="H14" s="6" t="s">
        <v>95</v>
      </c>
      <c r="I14" s="6" t="s">
        <v>95</v>
      </c>
      <c r="J14" s="7" t="s">
        <v>128</v>
      </c>
      <c r="K14" s="7" t="s">
        <v>98</v>
      </c>
    </row>
    <row r="15" spans="1:11" ht="40" customHeight="1">
      <c r="A15" s="5" t="s">
        <v>52</v>
      </c>
      <c r="B15" s="7" t="s">
        <v>129</v>
      </c>
      <c r="C15" s="7" t="s">
        <v>130</v>
      </c>
      <c r="D15" s="6">
        <v>2</v>
      </c>
      <c r="E15" s="6">
        <v>2</v>
      </c>
      <c r="F15" s="6">
        <f>IF(AND(D15&gt;=3,E15&gt;=3),"Manage closely",IF(D15&gt;=3,"Keep satisfied",IF(E15&gt;=3,"Keep informed","Monitor")))</f>
        <v>0</v>
      </c>
      <c r="G15" s="7" t="s">
        <v>131</v>
      </c>
      <c r="H15" s="6" t="s">
        <v>104</v>
      </c>
      <c r="I15" s="6" t="s">
        <v>95</v>
      </c>
      <c r="J15" s="7" t="s">
        <v>132</v>
      </c>
      <c r="K15" s="7" t="s">
        <v>98</v>
      </c>
    </row>
    <row r="16" spans="1:11" ht="40" customHeight="1">
      <c r="A16" s="5" t="s">
        <v>133</v>
      </c>
      <c r="B16" s="7" t="s">
        <v>134</v>
      </c>
      <c r="C16" s="7" t="s">
        <v>135</v>
      </c>
      <c r="D16" s="6">
        <v>1</v>
      </c>
      <c r="E16" s="6">
        <v>2</v>
      </c>
      <c r="F16" s="6">
        <f>IF(AND(D16&gt;=3,E16&gt;=3),"Manage closely",IF(D16&gt;=3,"Keep satisfied",IF(E16&gt;=3,"Keep informed","Monitor")))</f>
        <v>0</v>
      </c>
      <c r="G16" s="7" t="s">
        <v>136</v>
      </c>
      <c r="H16" s="6" t="s">
        <v>137</v>
      </c>
      <c r="I16" s="6" t="s">
        <v>104</v>
      </c>
      <c r="J16" s="7" t="s">
        <v>138</v>
      </c>
      <c r="K16" s="7" t="s">
        <v>13</v>
      </c>
    </row>
  </sheetData>
  <mergeCells count="1">
    <mergeCell ref="A1:K1"/>
  </mergeCells>
  <conditionalFormatting sqref="F6:F16">
    <cfRule type="cellIs" dxfId="6" priority="1" operator="equal">
      <formula>"Manage closely"</formula>
    </cfRule>
    <cfRule type="cellIs" dxfId="5" priority="2" operator="equal">
      <formula>"Keep satisfied"</formula>
    </cfRule>
    <cfRule type="cellIs" dxfId="4" priority="3" operator="equal">
      <formula>"Keep informed"</formula>
    </cfRule>
  </conditionalFormatting>
  <conditionalFormatting sqref="H6:H16">
    <cfRule type="cellIs" dxfId="6" priority="4" operator="equal">
      <formula>"Resistant"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"/>
  <sheetViews>
    <sheetView showGridLines="0" workbookViewId="0"/>
  </sheetViews>
  <sheetFormatPr defaultRowHeight="15"/>
  <cols>
    <col min="1" max="1" width="14.7109375" customWidth="1"/>
    <col min="2" max="3" width="46.7109375" customWidth="1"/>
  </cols>
  <sheetData>
    <row r="1" spans="1:3" ht="34" customHeight="1">
      <c r="A1" s="1" t="s">
        <v>0</v>
      </c>
      <c r="B1" s="1"/>
      <c r="C1" s="1"/>
    </row>
    <row r="2" spans="1:3" ht="24" customHeight="1">
      <c r="A2" s="2" t="s">
        <v>139</v>
      </c>
    </row>
    <row r="3" spans="1:3">
      <c r="A3" s="3" t="s">
        <v>140</v>
      </c>
    </row>
    <row r="5" spans="1:3">
      <c r="A5" s="4" t="s">
        <v>141</v>
      </c>
      <c r="B5" s="9">
        <f>"KEEP SATISFIED  ("&amp;COUNTIF('Stakeholder register'!$F$6:$F$16,"Keep satisfied")&amp;")"</f>
        <v>0</v>
      </c>
      <c r="C5" s="10">
        <f>"MANAGE CLOSELY  ("&amp;COUNTIF('Stakeholder register'!$F$6:$F$16,"Manage closely")&amp;")"</f>
        <v>0</v>
      </c>
    </row>
    <row r="6" spans="1:3" ht="105" customHeight="1">
      <c r="B6" s="11" t="s">
        <v>145</v>
      </c>
      <c r="C6" s="12" t="s">
        <v>146</v>
      </c>
    </row>
    <row r="7" spans="1:3">
      <c r="A7" s="4" t="s">
        <v>142</v>
      </c>
      <c r="B7" s="13">
        <f>"MONITOR  ("&amp;COUNTIF('Stakeholder register'!$F$6:$F$16,"Monitor")&amp;")"</f>
        <v>0</v>
      </c>
      <c r="C7" s="14">
        <f>"KEEP INFORMED  ("&amp;COUNTIF('Stakeholder register'!$F$6:$F$16,"Keep informed")&amp;")"</f>
        <v>0</v>
      </c>
    </row>
    <row r="8" spans="1:3" ht="105" customHeight="1">
      <c r="B8" s="15" t="s">
        <v>147</v>
      </c>
      <c r="C8" s="16" t="s">
        <v>148</v>
      </c>
    </row>
    <row r="9" spans="1:3">
      <c r="B9" s="4" t="s">
        <v>143</v>
      </c>
      <c r="C9" s="4" t="s">
        <v>144</v>
      </c>
    </row>
  </sheetData>
  <mergeCells count="1">
    <mergeCell ref="A1:C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Requirements (MoSCoW)</vt:lpstr>
      <vt:lpstr>Stakeholder register</vt:lpstr>
      <vt:lpstr>Power-interest grid</vt:lpstr>
      <vt:lpstr>'Requirements (MoSCoW)'!Print_Titles</vt:lpstr>
      <vt:lpstr>'Stakeholder register'!Print_Titles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and stakeholder register (SIMULATED)</dc:title>
  <dc:subject>Project Compass: CRM implementation - fictional</dc:subject>
  <dc:creator>Chidera Ikenna-Obi</dc:creator>
  <dc:description>Simulated project: fictional company, created for portfolio and learning purposes</dc:description>
  <cp:lastModifiedBy>Chidera Ikenna-Obi</cp:lastModifiedBy>
  <dcterms:created xsi:type="dcterms:W3CDTF">2026-10-08T23:31:50Z</dcterms:created>
  <dcterms:modified xsi:type="dcterms:W3CDTF">2026-10-08T23:31:50Z</dcterms:modified>
</cp:coreProperties>
</file>